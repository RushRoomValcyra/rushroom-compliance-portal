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ide panel matrix" sheetId="2" state="visible" r:id="rId2"/>
    <sheet name="Interior variants" sheetId="3" state="visible" r:id="rId3"/>
    <sheet name="Summary" sheetId="4" state="visible" r:id="rId4"/>
  </sheets>
  <definedNames>
    <definedName name="_xlnm._FilterDatabase" localSheetId="1" hidden="1">'Side panel matrix'!$A$1:$M$81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7">
    <fill>
      <patternFill/>
    </fill>
    <fill>
      <patternFill patternType="gray125"/>
    </fill>
    <fill>
      <patternFill patternType="solid">
        <fgColor rgb="00E2EFDA"/>
      </patternFill>
    </fill>
    <fill>
      <patternFill patternType="solid">
        <fgColor rgb="002F4858"/>
      </patternFill>
    </fill>
    <fill>
      <patternFill patternType="solid">
        <fgColor rgb="00F2F2F2"/>
      </patternFill>
    </fill>
    <fill>
      <patternFill patternType="solid">
        <fgColor rgb="00FFF2CC"/>
      </patternFill>
    </fill>
    <fill>
      <patternFill patternType="solid">
        <fgColor rgb="00FFFFFF"/>
      </patternFill>
    </fill>
  </fills>
  <borders count="2">
    <border>
      <left/>
      <right/>
      <top/>
      <bottom/>
      <diagonal/>
    </border>
    <border>
      <left style="thin">
        <color rgb="00D0D5DA"/>
      </left>
      <right style="thin">
        <color rgb="00D0D5DA"/>
      </right>
      <top style="thin">
        <color rgb="00D0D5DA"/>
      </top>
      <bottom style="thin">
        <color rgb="00D0D5DA"/>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0" borderId="1" pivotButton="0" quotePrefix="0" xfId="0"/>
    <xf numFmtId="0" fontId="2" fillId="2" borderId="1" applyAlignment="1" pivotButton="0" quotePrefix="0" xfId="0">
      <alignment vertical="top" wrapText="1"/>
    </xf>
    <xf numFmtId="0" fontId="4" fillId="3" borderId="1" applyAlignment="1" pivotButton="0" quotePrefix="0" xfId="0">
      <alignment vertical="center"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4" fillId="3" borderId="1" pivotButton="0" quotePrefix="0" xfId="0"/>
    <xf numFmtId="0" fontId="2" fillId="0" borderId="1" applyAlignment="1" pivotButton="0" quotePrefix="0" xfId="0">
      <alignment vertical="top" wrapText="1"/>
    </xf>
    <xf numFmtId="0" fontId="2" fillId="0" borderId="0"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Order Operations</author>
  </authors>
  <commentList>
    <comment ref="H1" authorId="0" shapeId="0">
      <text>
        <t>Yes: the supplier's predrilled panel already has every hole this module needs. No: the hub adds holes or milling.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11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c r="A1" s="1" t="inlineStr">
        <is>
          <t>Hub operations matrix — side panels</t>
        </is>
      </c>
    </row>
    <row r="2">
      <c r="A2" s="2" t="inlineStr">
        <is>
          <t>Which extra holes or milling each side panel needs at the hub, per module setting. Order Operations item 0039; the E&amp;C Gateway defines, Order Operations executes (decision 0012).</t>
        </is>
      </c>
    </row>
    <row r="3">
      <c r="A3" s="2" t="inlineStr"/>
    </row>
    <row r="4">
      <c r="A4" s="3" t="inlineStr">
        <is>
          <t>How it works</t>
        </is>
      </c>
    </row>
    <row r="5">
      <c r="A5" s="2" t="inlineStr">
        <is>
          <t>1. Each row is one face of a side panel meeting one module, in one size and one interior. A mid panel has two faces, so it appears twice per setting.</t>
        </is>
      </c>
    </row>
    <row r="6">
      <c r="A6" s="2" t="inlineStr">
        <is>
          <t>2. Most rows are covered by the supplier's default drilling. Mark those 'Yes' and leave the rest of the row empty.</t>
        </is>
      </c>
    </row>
    <row r="7">
      <c r="A7" s="2" t="inlineStr">
        <is>
          <t>3. Where the hub must add holes or milling, mark 'No' and fill in Operation, Instruction and Drawing.</t>
        </is>
      </c>
    </row>
    <row r="8">
      <c r="A8" s="2" t="inlineStr">
        <is>
          <t>4. Each 'No' row becomes one operation on that side panel part in the E&amp;C Gateway, with the condition in column K. After Resolve BOM, Order Operations matches each side panel in an order against its neighbouring modules and puts the matching operations on the order's work order.</t>
        </is>
      </c>
    </row>
    <row r="9">
      <c r="A9" s="2" t="inlineStr">
        <is>
          <t>5. If a pattern is the same for every size, fill it once and write 'same as L' in Notes on the S and M rows.</t>
        </is>
      </c>
    </row>
    <row r="10">
      <c r="A10" s="2" t="inlineStr"/>
    </row>
    <row r="11">
      <c r="A11" s="3" t="inlineStr">
        <is>
          <t>Legend</t>
        </is>
      </c>
    </row>
    <row r="12">
      <c r="A12" s="2" t="inlineStr">
        <is>
          <t>Yellow cells: fill in. Grey cells: from the planner's spec (spec/interior-variants.json), do not edit. Column K is a formula.</t>
        </is>
      </c>
    </row>
    <row r="13">
      <c r="A13" s="2" t="inlineStr">
        <is>
          <t>Heights are millimetres in the planner's 3D model (feet at 13.5, side bottom edge at about 20). Subtract about 20 mm to measure from the side panel's bottom edge.</t>
        </is>
      </c>
    </row>
    <row r="14">
      <c r="A14" s="2" t="inlineStr">
        <is>
          <t>Faces are as seen from the front: the left face of a panel meets the module to its left.</t>
        </is>
      </c>
    </row>
    <row r="15">
      <c r="A15" s="2" t="inlineStr">
        <is>
          <t>Article numbers are the White variants; the same operations apply to every colour unless Notes says otherwise.</t>
        </is>
      </c>
    </row>
    <row r="16">
      <c r="A16" s="2" t="inlineStr"/>
    </row>
    <row r="17">
      <c r="A17" s="3" t="inlineStr">
        <is>
          <t>Example (not real data)</t>
        </is>
      </c>
    </row>
    <row r="18">
      <c r="A18" s="4" t="inlineStr">
        <is>
          <t>Panel</t>
        </is>
      </c>
      <c r="B18" s="4" t="inlineStr">
        <is>
          <t>Face</t>
        </is>
      </c>
      <c r="C18" s="4" t="inlineStr">
        <is>
          <t>Size</t>
        </is>
      </c>
      <c r="D18" s="4" t="inlineStr">
        <is>
          <t>Interior</t>
        </is>
      </c>
      <c r="E18" s="4" t="inlineStr">
        <is>
          <t>Supplier default enough?</t>
        </is>
      </c>
      <c r="F18" s="4" t="inlineStr">
        <is>
          <t>Operation</t>
        </is>
      </c>
      <c r="G18" s="4" t="inlineStr">
        <is>
          <t>Instruction</t>
        </is>
      </c>
      <c r="H18" s="4" t="inlineStr">
        <is>
          <t>Drawing</t>
        </is>
      </c>
      <c r="I18" s="4" t="inlineStr">
        <is>
          <t>Condition</t>
        </is>
      </c>
    </row>
    <row r="19">
      <c r="A19" s="5" t="inlineStr">
        <is>
          <t>Mid panel</t>
        </is>
      </c>
      <c r="B19" s="5" t="inlineStr">
        <is>
          <t>left</t>
        </is>
      </c>
      <c r="C19" s="5" t="inlineStr">
        <is>
          <t>L</t>
        </is>
      </c>
      <c r="D19" s="5" t="inlineStr">
        <is>
          <t>1 Lådor + häng</t>
        </is>
      </c>
      <c r="E19" s="5" t="inlineStr">
        <is>
          <t>No</t>
        </is>
      </c>
      <c r="F19" s="5" t="inlineStr">
        <is>
          <t>drill</t>
        </is>
      </c>
      <c r="G19" s="5" t="inlineStr">
        <is>
          <t>Drill 4 runner holes Ø5×12 for the lower drawer pair</t>
        </is>
      </c>
      <c r="H19" s="5" t="inlineStr">
        <is>
          <t>DRW-0123 rev A</t>
        </is>
      </c>
      <c r="I19" s="5" t="inlineStr">
        <is>
          <t>{"face":"left","size":"L","interior":1}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1"/>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2" customWidth="1" min="1" max="1"/>
    <col width="44" customWidth="1" min="2" max="2"/>
    <col width="7" customWidth="1" min="3" max="3"/>
    <col width="11" customWidth="1" min="4" max="4"/>
    <col width="9" customWidth="1" min="5" max="5"/>
    <col width="18" customWidth="1" min="6" max="6"/>
    <col width="60" customWidth="1" min="7" max="7"/>
    <col width="13" customWidth="1" min="8" max="8"/>
    <col width="12" customWidth="1" min="9" max="9"/>
    <col width="44" customWidth="1" min="10" max="10"/>
    <col width="38" customWidth="1" min="11" max="11"/>
    <col width="16" customWidth="1" min="12" max="12"/>
    <col width="30" customWidth="1" min="13" max="13"/>
  </cols>
  <sheetData>
    <row r="1">
      <c r="A1" s="6" t="inlineStr">
        <is>
          <t>Panel</t>
        </is>
      </c>
      <c r="B1" s="6" t="inlineStr">
        <is>
          <t>Gateway article</t>
        </is>
      </c>
      <c r="C1" s="6" t="inlineStr">
        <is>
          <t>Face</t>
        </is>
      </c>
      <c r="D1" s="6" t="inlineStr">
        <is>
          <t>Module size</t>
        </is>
      </c>
      <c r="E1" s="6" t="inlineStr">
        <is>
          <t>Interior code</t>
        </is>
      </c>
      <c r="F1" s="6" t="inlineStr">
        <is>
          <t>Interior</t>
        </is>
      </c>
      <c r="G1" s="6" t="inlineStr">
        <is>
          <t>What the module holds (mm)</t>
        </is>
      </c>
      <c r="H1" s="6" t="inlineStr">
        <is>
          <t>Supplier default enough?</t>
        </is>
      </c>
      <c r="I1" s="6" t="inlineStr">
        <is>
          <t>Operation</t>
        </is>
      </c>
      <c r="J1" s="6" t="inlineStr">
        <is>
          <t>Instruction</t>
        </is>
      </c>
      <c r="K1" s="6" t="inlineStr">
        <is>
          <t>Condition (for the Gateway)</t>
        </is>
      </c>
      <c r="L1" s="6" t="inlineStr">
        <is>
          <t>Drawing</t>
        </is>
      </c>
      <c r="M1" s="6" t="inlineStr">
        <is>
          <t>Notes</t>
        </is>
      </c>
    </row>
    <row r="2">
      <c r="A2" s="7" t="inlineStr">
        <is>
          <t>Left side</t>
        </is>
      </c>
      <c r="B2" s="7" t="inlineStr">
        <is>
          <t>Left Side Panel - White (in Prepared Left Side Panel, RR-202609-DEFPG54X)</t>
        </is>
      </c>
      <c r="C2" s="7" t="inlineStr">
        <is>
          <t>right</t>
        </is>
      </c>
      <c r="D2" s="7" t="inlineStr">
        <is>
          <t>S</t>
        </is>
      </c>
      <c r="E2" s="7" t="n">
        <v>0</v>
      </c>
      <c r="F2" s="7" t="inlineStr">
        <is>
          <t>Fullhäng</t>
        </is>
      </c>
      <c r="G2" s="7" t="inlineStr">
        <is>
          <t>Shelf_7 at 393; Hanger rail at 1962 (hangs to Shelf_7)</t>
        </is>
      </c>
      <c r="H2" s="8" t="n"/>
      <c r="I2" s="8" t="n"/>
      <c r="J2" s="8" t="n"/>
      <c r="K2" s="9">
        <f>IF(H2="No","{""face"":"""&amp;C2&amp;""",""size"":"""&amp;D2&amp;""",""interior"":"&amp;E2&amp;"}","")</f>
        <v/>
      </c>
      <c r="L2" s="8" t="n"/>
      <c r="M2" s="8" t="n"/>
    </row>
    <row r="3">
      <c r="A3" s="7" t="inlineStr">
        <is>
          <t>Left side</t>
        </is>
      </c>
      <c r="B3" s="7" t="inlineStr">
        <is>
          <t>Left Side Panel - White (in Prepared Left Side Panel, RR-202609-DEFPG54X)</t>
        </is>
      </c>
      <c r="C3" s="7" t="inlineStr">
        <is>
          <t>right</t>
        </is>
      </c>
      <c r="D3" s="7" t="inlineStr">
        <is>
          <t>S</t>
        </is>
      </c>
      <c r="E3" s="7" t="n">
        <v>2</v>
      </c>
      <c r="F3" s="7" t="inlineStr">
        <is>
          <t>Hyllor</t>
        </is>
      </c>
      <c r="G3" s="7" t="inlineStr">
        <is>
          <t>Shelf_1 at 1817; Shelf_2 at 1580; Shelf_3 at 1343; Shelf_4 at 1105; Shelf_5 at 868; Shelf_6 at 630; Shelf_7 at 393</t>
        </is>
      </c>
      <c r="H3" s="8" t="n"/>
      <c r="I3" s="8" t="n"/>
      <c r="J3" s="8" t="n"/>
      <c r="K3" s="9">
        <f>IF(H3="No","{""face"":"""&amp;C3&amp;""",""size"":"""&amp;D3&amp;""",""interior"":"&amp;E3&amp;"}","")</f>
        <v/>
      </c>
      <c r="L3" s="8" t="n"/>
      <c r="M3" s="8" t="n"/>
    </row>
    <row r="4">
      <c r="A4" s="7" t="inlineStr">
        <is>
          <t>Left side</t>
        </is>
      </c>
      <c r="B4" s="7" t="inlineStr">
        <is>
          <t>Left Side Panel - White (in Prepared Left Side Panel, RR-202609-DEFPG54X)</t>
        </is>
      </c>
      <c r="C4" s="7" t="inlineStr">
        <is>
          <t>right</t>
        </is>
      </c>
      <c r="D4" s="7" t="inlineStr">
        <is>
          <t>S</t>
        </is>
      </c>
      <c r="E4" s="7" t="n">
        <v>4</v>
      </c>
      <c r="F4" s="7" t="inlineStr">
        <is>
          <t>Hyllor + häng</t>
        </is>
      </c>
      <c r="G4" s="7" t="inlineStr">
        <is>
          <t>Shelf_5 at 868; Shelf_6 at 630; Shelf_7 at 393; Hanger rail at 1962 (hangs to Shelf_5)</t>
        </is>
      </c>
      <c r="H4" s="8" t="n"/>
      <c r="I4" s="8" t="n"/>
      <c r="J4" s="8" t="n"/>
      <c r="K4" s="9">
        <f>IF(H4="No","{""face"":"""&amp;C4&amp;""",""size"":"""&amp;D4&amp;""",""interior"":"&amp;E4&amp;"}","")</f>
        <v/>
      </c>
      <c r="L4" s="8" t="n"/>
      <c r="M4" s="8" t="n"/>
    </row>
    <row r="5">
      <c r="A5" s="7" t="inlineStr">
        <is>
          <t>Left side</t>
        </is>
      </c>
      <c r="B5" s="7" t="inlineStr">
        <is>
          <t>Left Side Panel - White (in Prepared Left Side Panel, RR-202609-DEFPG54X)</t>
        </is>
      </c>
      <c r="C5" s="7" t="inlineStr">
        <is>
          <t>right</t>
        </is>
      </c>
      <c r="D5" s="7" t="inlineStr">
        <is>
          <t>S</t>
        </is>
      </c>
      <c r="E5" s="7" t="n">
        <v>5</v>
      </c>
      <c r="F5" s="7" t="inlineStr">
        <is>
          <t>Dubbelhäng</t>
        </is>
      </c>
      <c r="G5" s="7" t="inlineStr">
        <is>
          <t>Shelf_5 at 868; Hanger rail at 1962 (hangs to Shelf_5); Hanger_bottom rail at 773 (hangs to Bottom)</t>
        </is>
      </c>
      <c r="H5" s="8" t="n"/>
      <c r="I5" s="8" t="n"/>
      <c r="J5" s="8" t="n"/>
      <c r="K5" s="9">
        <f>IF(H5="No","{""face"":"""&amp;C5&amp;""",""size"":"""&amp;D5&amp;""",""interior"":"&amp;E5&amp;"}","")</f>
        <v/>
      </c>
      <c r="L5" s="8" t="n"/>
      <c r="M5" s="8" t="n"/>
    </row>
    <row r="6">
      <c r="A6" s="7" t="inlineStr">
        <is>
          <t>Left side</t>
        </is>
      </c>
      <c r="B6" s="7" t="inlineStr">
        <is>
          <t>Left Side Panel - White (in Prepared Left Side Panel, RR-202609-DEFPG54X)</t>
        </is>
      </c>
      <c r="C6" s="7" t="inlineStr">
        <is>
          <t>right</t>
        </is>
      </c>
      <c r="D6" s="7" t="inlineStr">
        <is>
          <t>S</t>
        </is>
      </c>
      <c r="E6" s="7" t="n">
        <v>7</v>
      </c>
      <c r="F6" s="7" t="inlineStr">
        <is>
          <t>Dubbelhäng 50/50</t>
        </is>
      </c>
      <c r="G6" s="7" t="inlineStr">
        <is>
          <t>Shelf_4 at 1105; Hanger rail at 1962 (hangs to Shelf_4); Hanger_mid rail at 1010 (hangs to Bottom)</t>
        </is>
      </c>
      <c r="H6" s="8" t="n"/>
      <c r="I6" s="8" t="n"/>
      <c r="J6" s="8" t="n"/>
      <c r="K6" s="9">
        <f>IF(H6="No","{""face"":"""&amp;C6&amp;""",""size"":"""&amp;D6&amp;""",""interior"":"&amp;E6&amp;"}","")</f>
        <v/>
      </c>
      <c r="L6" s="8" t="n"/>
      <c r="M6" s="8" t="n"/>
    </row>
    <row r="7">
      <c r="A7" s="7" t="inlineStr">
        <is>
          <t>Left side</t>
        </is>
      </c>
      <c r="B7" s="7" t="inlineStr">
        <is>
          <t>Left Side Panel - White (in Prepared Left Side Panel, RR-202609-DEFPG54X)</t>
        </is>
      </c>
      <c r="C7" s="7" t="inlineStr">
        <is>
          <t>right</t>
        </is>
      </c>
      <c r="D7" s="7" t="inlineStr">
        <is>
          <t>M</t>
        </is>
      </c>
      <c r="E7" s="7" t="n">
        <v>0</v>
      </c>
      <c r="F7" s="7" t="inlineStr">
        <is>
          <t>Fullhäng</t>
        </is>
      </c>
      <c r="G7" s="7" t="inlineStr">
        <is>
          <t>Shelf_7 at 393; Hanger rail at 1962 (hangs to Shelf_7)</t>
        </is>
      </c>
      <c r="H7" s="8" t="n"/>
      <c r="I7" s="8" t="n"/>
      <c r="J7" s="8" t="n"/>
      <c r="K7" s="9">
        <f>IF(H7="No","{""face"":"""&amp;C7&amp;""",""size"":"""&amp;D7&amp;""",""interior"":"&amp;E7&amp;"}","")</f>
        <v/>
      </c>
      <c r="L7" s="8" t="n"/>
      <c r="M7" s="8" t="n"/>
    </row>
    <row r="8">
      <c r="A8" s="7" t="inlineStr">
        <is>
          <t>Left side</t>
        </is>
      </c>
      <c r="B8" s="7" t="inlineStr">
        <is>
          <t>Left Side Panel - White (in Prepared Left Side Panel, RR-202609-DEFPG54X)</t>
        </is>
      </c>
      <c r="C8" s="7" t="inlineStr">
        <is>
          <t>right</t>
        </is>
      </c>
      <c r="D8" s="7" t="inlineStr">
        <is>
          <t>M</t>
        </is>
      </c>
      <c r="E8" s="7" t="n">
        <v>1</v>
      </c>
      <c r="F8" s="7" t="inlineStr">
        <is>
          <t>Lådor + häng</t>
        </is>
      </c>
      <c r="G8" s="7" t="inlineStr">
        <is>
          <t>Shelf_5 at 868; Hanger rail at 1962 (hangs to Shelf_5); 2 drawers: 634–857, 409–632</t>
        </is>
      </c>
      <c r="H8" s="8" t="n"/>
      <c r="I8" s="8" t="n"/>
      <c r="J8" s="8" t="n"/>
      <c r="K8" s="9">
        <f>IF(H8="No","{""face"":"""&amp;C8&amp;""",""size"":"""&amp;D8&amp;""",""interior"":"&amp;E8&amp;"}","")</f>
        <v/>
      </c>
      <c r="L8" s="8" t="n"/>
      <c r="M8" s="8" t="n"/>
    </row>
    <row r="9">
      <c r="A9" s="7" t="inlineStr">
        <is>
          <t>Left side</t>
        </is>
      </c>
      <c r="B9" s="7" t="inlineStr">
        <is>
          <t>Left Side Panel - White (in Prepared Left Side Panel, RR-202609-DEFPG54X)</t>
        </is>
      </c>
      <c r="C9" s="7" t="inlineStr">
        <is>
          <t>right</t>
        </is>
      </c>
      <c r="D9" s="7" t="inlineStr">
        <is>
          <t>M</t>
        </is>
      </c>
      <c r="E9" s="7" t="n">
        <v>2</v>
      </c>
      <c r="F9" s="7" t="inlineStr">
        <is>
          <t>Hyllor</t>
        </is>
      </c>
      <c r="G9" s="7" t="inlineStr">
        <is>
          <t>Shelf_1 at 1817; Shelf_2 at 1580; Shelf_3 at 1343; Shelf_4 at 1105; Shelf_5 at 868; Shelf_6 at 630; Shelf_7 at 393</t>
        </is>
      </c>
      <c r="H9" s="8" t="n"/>
      <c r="I9" s="8" t="n"/>
      <c r="J9" s="8" t="n"/>
      <c r="K9" s="9">
        <f>IF(H9="No","{""face"":"""&amp;C9&amp;""",""size"":"""&amp;D9&amp;""",""interior"":"&amp;E9&amp;"}","")</f>
        <v/>
      </c>
      <c r="L9" s="8" t="n"/>
      <c r="M9" s="8" t="n"/>
    </row>
    <row r="10">
      <c r="A10" s="7" t="inlineStr">
        <is>
          <t>Left side</t>
        </is>
      </c>
      <c r="B10" s="7" t="inlineStr">
        <is>
          <t>Left Side Panel - White (in Prepared Left Side Panel, RR-202609-DEFPG54X)</t>
        </is>
      </c>
      <c r="C10" s="7" t="inlineStr">
        <is>
          <t>right</t>
        </is>
      </c>
      <c r="D10" s="7" t="inlineStr">
        <is>
          <t>M</t>
        </is>
      </c>
      <c r="E10" s="7" t="n">
        <v>4</v>
      </c>
      <c r="F10" s="7" t="inlineStr">
        <is>
          <t>Hyllor + häng</t>
        </is>
      </c>
      <c r="G10" s="7" t="inlineStr">
        <is>
          <t>Shelf_5 at 868; Shelf_6 at 630; Shelf_7 at 393; Hanger rail at 1962 (hangs to Shelf_5)</t>
        </is>
      </c>
      <c r="H10" s="8" t="n"/>
      <c r="I10" s="8" t="n"/>
      <c r="J10" s="8" t="n"/>
      <c r="K10" s="9">
        <f>IF(H10="No","{""face"":"""&amp;C10&amp;""",""size"":"""&amp;D10&amp;""",""interior"":"&amp;E10&amp;"}","")</f>
        <v/>
      </c>
      <c r="L10" s="8" t="n"/>
      <c r="M10" s="8" t="n"/>
    </row>
    <row r="11">
      <c r="A11" s="7" t="inlineStr">
        <is>
          <t>Left side</t>
        </is>
      </c>
      <c r="B11" s="7" t="inlineStr">
        <is>
          <t>Left Side Panel - White (in Prepared Left Side Panel, RR-202609-DEFPG54X)</t>
        </is>
      </c>
      <c r="C11" s="7" t="inlineStr">
        <is>
          <t>right</t>
        </is>
      </c>
      <c r="D11" s="7" t="inlineStr">
        <is>
          <t>M</t>
        </is>
      </c>
      <c r="E11" s="7" t="n">
        <v>5</v>
      </c>
      <c r="F11" s="7" t="inlineStr">
        <is>
          <t>Dubbelhäng</t>
        </is>
      </c>
      <c r="G11" s="7" t="inlineStr">
        <is>
          <t>Shelf_5 at 868; Hanger rail at 1962 (hangs to Shelf_5); Hanger_bottom rail at 773 (hangs to Bottom)</t>
        </is>
      </c>
      <c r="H11" s="8" t="n"/>
      <c r="I11" s="8" t="n"/>
      <c r="J11" s="8" t="n"/>
      <c r="K11" s="9">
        <f>IF(H11="No","{""face"":"""&amp;C11&amp;""",""size"":"""&amp;D11&amp;""",""interior"":"&amp;E11&amp;"}","")</f>
        <v/>
      </c>
      <c r="L11" s="8" t="n"/>
      <c r="M11" s="8" t="n"/>
    </row>
    <row r="12">
      <c r="A12" s="7" t="inlineStr">
        <is>
          <t>Left side</t>
        </is>
      </c>
      <c r="B12" s="7" t="inlineStr">
        <is>
          <t>Left Side Panel - White (in Prepared Left Side Panel, RR-202609-DEFPG54X)</t>
        </is>
      </c>
      <c r="C12" s="7" t="inlineStr">
        <is>
          <t>right</t>
        </is>
      </c>
      <c r="D12" s="7" t="inlineStr">
        <is>
          <t>M</t>
        </is>
      </c>
      <c r="E12" s="7" t="n">
        <v>6</v>
      </c>
      <c r="F12" s="7" t="inlineStr">
        <is>
          <t>Lådor + hyllor</t>
        </is>
      </c>
      <c r="G12" s="7" t="inlineStr">
        <is>
          <t>Shelf_1 at 1817; Shelf_2 at 1580; Shelf_3 at 1343; Shelf_4 at 1105; Shelf_5 at 868; 2 drawers: 634–857, 409–632</t>
        </is>
      </c>
      <c r="H12" s="8" t="n"/>
      <c r="I12" s="8" t="n"/>
      <c r="J12" s="8" t="n"/>
      <c r="K12" s="9">
        <f>IF(H12="No","{""face"":"""&amp;C12&amp;""",""size"":"""&amp;D12&amp;""",""interior"":"&amp;E12&amp;"}","")</f>
        <v/>
      </c>
      <c r="L12" s="8" t="n"/>
      <c r="M12" s="8" t="n"/>
    </row>
    <row r="13">
      <c r="A13" s="7" t="inlineStr">
        <is>
          <t>Left side</t>
        </is>
      </c>
      <c r="B13" s="7" t="inlineStr">
        <is>
          <t>Left Side Panel - White (in Prepared Left Side Panel, RR-202609-DEFPG54X)</t>
        </is>
      </c>
      <c r="C13" s="7" t="inlineStr">
        <is>
          <t>right</t>
        </is>
      </c>
      <c r="D13" s="7" t="inlineStr">
        <is>
          <t>M</t>
        </is>
      </c>
      <c r="E13" s="7" t="n">
        <v>7</v>
      </c>
      <c r="F13" s="7" t="inlineStr">
        <is>
          <t>Dubbelhäng 50/50</t>
        </is>
      </c>
      <c r="G13" s="7" t="inlineStr">
        <is>
          <t>Shelf_4 at 1105; Hanger rail at 1962 (hangs to Shelf_4); Hanger_mid rail at 1010 (hangs to Bottom)</t>
        </is>
      </c>
      <c r="H13" s="8" t="n"/>
      <c r="I13" s="8" t="n"/>
      <c r="J13" s="8" t="n"/>
      <c r="K13" s="9">
        <f>IF(H13="No","{""face"":"""&amp;C13&amp;""",""size"":"""&amp;D13&amp;""",""interior"":"&amp;E13&amp;"}","")</f>
        <v/>
      </c>
      <c r="L13" s="8" t="n"/>
      <c r="M13" s="8" t="n"/>
    </row>
    <row r="14">
      <c r="A14" s="7" t="inlineStr">
        <is>
          <t>Left side</t>
        </is>
      </c>
      <c r="B14" s="7" t="inlineStr">
        <is>
          <t>Left Side Panel - White (in Prepared Left Side Panel, RR-202609-DEFPG54X)</t>
        </is>
      </c>
      <c r="C14" s="7" t="inlineStr">
        <is>
          <t>right</t>
        </is>
      </c>
      <c r="D14" s="7" t="inlineStr">
        <is>
          <t>L</t>
        </is>
      </c>
      <c r="E14" s="7" t="n">
        <v>0</v>
      </c>
      <c r="F14" s="7" t="inlineStr">
        <is>
          <t>Fullhäng</t>
        </is>
      </c>
      <c r="G14" s="7" t="inlineStr">
        <is>
          <t>Shelf_7 at 393; Hanger rail at 1962 (hangs to Shelf_7)</t>
        </is>
      </c>
      <c r="H14" s="8" t="n"/>
      <c r="I14" s="8" t="n"/>
      <c r="J14" s="8" t="n"/>
      <c r="K14" s="9">
        <f>IF(H14="No","{""face"":"""&amp;C14&amp;""",""size"":"""&amp;D14&amp;""",""interior"":"&amp;E14&amp;"}","")</f>
        <v/>
      </c>
      <c r="L14" s="8" t="n"/>
      <c r="M14" s="8" t="n"/>
    </row>
    <row r="15">
      <c r="A15" s="7" t="inlineStr">
        <is>
          <t>Left side</t>
        </is>
      </c>
      <c r="B15" s="7" t="inlineStr">
        <is>
          <t>Left Side Panel - White (in Prepared Left Side Panel, RR-202609-DEFPG54X)</t>
        </is>
      </c>
      <c r="C15" s="7" t="inlineStr">
        <is>
          <t>right</t>
        </is>
      </c>
      <c r="D15" s="7" t="inlineStr">
        <is>
          <t>L</t>
        </is>
      </c>
      <c r="E15" s="7" t="n">
        <v>1</v>
      </c>
      <c r="F15" s="7" t="inlineStr">
        <is>
          <t>Lådor + häng</t>
        </is>
      </c>
      <c r="G15" s="7" t="inlineStr">
        <is>
          <t>Shelf_5 at 868; Hanger rail at 1962 (hangs to Shelf_5); 2 drawers: 634–857, 409–632</t>
        </is>
      </c>
      <c r="H15" s="8" t="n"/>
      <c r="I15" s="8" t="n"/>
      <c r="J15" s="8" t="n"/>
      <c r="K15" s="9">
        <f>IF(H15="No","{""face"":"""&amp;C15&amp;""",""size"":"""&amp;D15&amp;""",""interior"":"&amp;E15&amp;"}","")</f>
        <v/>
      </c>
      <c r="L15" s="8" t="n"/>
      <c r="M15" s="8" t="n"/>
    </row>
    <row r="16">
      <c r="A16" s="7" t="inlineStr">
        <is>
          <t>Left side</t>
        </is>
      </c>
      <c r="B16" s="7" t="inlineStr">
        <is>
          <t>Left Side Panel - White (in Prepared Left Side Panel, RR-202609-DEFPG54X)</t>
        </is>
      </c>
      <c r="C16" s="7" t="inlineStr">
        <is>
          <t>right</t>
        </is>
      </c>
      <c r="D16" s="7" t="inlineStr">
        <is>
          <t>L</t>
        </is>
      </c>
      <c r="E16" s="7" t="n">
        <v>2</v>
      </c>
      <c r="F16" s="7" t="inlineStr">
        <is>
          <t>Hyllor</t>
        </is>
      </c>
      <c r="G16" s="7" t="inlineStr">
        <is>
          <t>Shelf_1 at 1817; Shelf_2 at 1580; Shelf_3 at 1343; Shelf_4 at 1105; Shelf_5 at 868; Shelf_6 at 630; Shelf_7 at 393</t>
        </is>
      </c>
      <c r="H16" s="8" t="n"/>
      <c r="I16" s="8" t="n"/>
      <c r="J16" s="8" t="n"/>
      <c r="K16" s="9">
        <f>IF(H16="No","{""face"":"""&amp;C16&amp;""",""size"":"""&amp;D16&amp;""",""interior"":"&amp;E16&amp;"}","")</f>
        <v/>
      </c>
      <c r="L16" s="8" t="n"/>
      <c r="M16" s="8" t="n"/>
    </row>
    <row r="17">
      <c r="A17" s="7" t="inlineStr">
        <is>
          <t>Left side</t>
        </is>
      </c>
      <c r="B17" s="7" t="inlineStr">
        <is>
          <t>Left Side Panel - White (in Prepared Left Side Panel, RR-202609-DEFPG54X)</t>
        </is>
      </c>
      <c r="C17" s="7" t="inlineStr">
        <is>
          <t>right</t>
        </is>
      </c>
      <c r="D17" s="7" t="inlineStr">
        <is>
          <t>L</t>
        </is>
      </c>
      <c r="E17" s="7" t="n">
        <v>3</v>
      </c>
      <c r="F17" s="7" t="inlineStr">
        <is>
          <t>BeautyBox</t>
        </is>
      </c>
      <c r="G17" s="7" t="inlineStr">
        <is>
          <t>BeautyBox unit</t>
        </is>
      </c>
      <c r="H17" s="8" t="n"/>
      <c r="I17" s="8" t="n"/>
      <c r="J17" s="8" t="n"/>
      <c r="K17" s="9">
        <f>IF(H17="No","{""face"":"""&amp;C17&amp;""",""size"":"""&amp;D17&amp;""",""interior"":"&amp;E17&amp;"}","")</f>
        <v/>
      </c>
      <c r="L17" s="8" t="n"/>
      <c r="M17" s="8" t="n"/>
    </row>
    <row r="18">
      <c r="A18" s="7" t="inlineStr">
        <is>
          <t>Left side</t>
        </is>
      </c>
      <c r="B18" s="7" t="inlineStr">
        <is>
          <t>Left Side Panel - White (in Prepared Left Side Panel, RR-202609-DEFPG54X)</t>
        </is>
      </c>
      <c r="C18" s="7" t="inlineStr">
        <is>
          <t>right</t>
        </is>
      </c>
      <c r="D18" s="7" t="inlineStr">
        <is>
          <t>L</t>
        </is>
      </c>
      <c r="E18" s="7" t="n">
        <v>4</v>
      </c>
      <c r="F18" s="7" t="inlineStr">
        <is>
          <t>Hyllor + häng</t>
        </is>
      </c>
      <c r="G18" s="7" t="inlineStr">
        <is>
          <t>Shelf_5 at 868; Shelf_6 at 630; Shelf_7 at 393; Hanger rail at 1962 (hangs to Shelf_5)</t>
        </is>
      </c>
      <c r="H18" s="8" t="n"/>
      <c r="I18" s="8" t="n"/>
      <c r="J18" s="8" t="n"/>
      <c r="K18" s="9">
        <f>IF(H18="No","{""face"":"""&amp;C18&amp;""",""size"":"""&amp;D18&amp;""",""interior"":"&amp;E18&amp;"}","")</f>
        <v/>
      </c>
      <c r="L18" s="8" t="n"/>
      <c r="M18" s="8" t="n"/>
    </row>
    <row r="19">
      <c r="A19" s="7" t="inlineStr">
        <is>
          <t>Left side</t>
        </is>
      </c>
      <c r="B19" s="7" t="inlineStr">
        <is>
          <t>Left Side Panel - White (in Prepared Left Side Panel, RR-202609-DEFPG54X)</t>
        </is>
      </c>
      <c r="C19" s="7" t="inlineStr">
        <is>
          <t>right</t>
        </is>
      </c>
      <c r="D19" s="7" t="inlineStr">
        <is>
          <t>L</t>
        </is>
      </c>
      <c r="E19" s="7" t="n">
        <v>5</v>
      </c>
      <c r="F19" s="7" t="inlineStr">
        <is>
          <t>Dubbelhäng</t>
        </is>
      </c>
      <c r="G19" s="7" t="inlineStr">
        <is>
          <t>Shelf_5 at 868; Hanger rail at 1962 (hangs to Shelf_5); Hanger_bottom rail at 773 (hangs to Bottom)</t>
        </is>
      </c>
      <c r="H19" s="8" t="n"/>
      <c r="I19" s="8" t="n"/>
      <c r="J19" s="8" t="n"/>
      <c r="K19" s="9">
        <f>IF(H19="No","{""face"":"""&amp;C19&amp;""",""size"":"""&amp;D19&amp;""",""interior"":"&amp;E19&amp;"}","")</f>
        <v/>
      </c>
      <c r="L19" s="8" t="n"/>
      <c r="M19" s="8" t="n"/>
    </row>
    <row r="20">
      <c r="A20" s="7" t="inlineStr">
        <is>
          <t>Left side</t>
        </is>
      </c>
      <c r="B20" s="7" t="inlineStr">
        <is>
          <t>Left Side Panel - White (in Prepared Left Side Panel, RR-202609-DEFPG54X)</t>
        </is>
      </c>
      <c r="C20" s="7" t="inlineStr">
        <is>
          <t>right</t>
        </is>
      </c>
      <c r="D20" s="7" t="inlineStr">
        <is>
          <t>L</t>
        </is>
      </c>
      <c r="E20" s="7" t="n">
        <v>6</v>
      </c>
      <c r="F20" s="7" t="inlineStr">
        <is>
          <t>Lådor + hyllor</t>
        </is>
      </c>
      <c r="G20" s="7" t="inlineStr">
        <is>
          <t>Shelf_1 at 1817; Shelf_2 at 1580; Shelf_3 at 1343; Shelf_4 at 1105; Shelf_5 at 868; 2 drawers: 634–857, 409–632</t>
        </is>
      </c>
      <c r="H20" s="8" t="n"/>
      <c r="I20" s="8" t="n"/>
      <c r="J20" s="8" t="n"/>
      <c r="K20" s="9">
        <f>IF(H20="No","{""face"":"""&amp;C20&amp;""",""size"":"""&amp;D20&amp;""",""interior"":"&amp;E20&amp;"}","")</f>
        <v/>
      </c>
      <c r="L20" s="8" t="n"/>
      <c r="M20" s="8" t="n"/>
    </row>
    <row r="21">
      <c r="A21" s="7" t="inlineStr">
        <is>
          <t>Left side</t>
        </is>
      </c>
      <c r="B21" s="7" t="inlineStr">
        <is>
          <t>Left Side Panel - White (in Prepared Left Side Panel, RR-202609-DEFPG54X)</t>
        </is>
      </c>
      <c r="C21" s="7" t="inlineStr">
        <is>
          <t>right</t>
        </is>
      </c>
      <c r="D21" s="7" t="inlineStr">
        <is>
          <t>L</t>
        </is>
      </c>
      <c r="E21" s="7" t="n">
        <v>7</v>
      </c>
      <c r="F21" s="7" t="inlineStr">
        <is>
          <t>Dubbelhäng 50/50</t>
        </is>
      </c>
      <c r="G21" s="7" t="inlineStr">
        <is>
          <t>Shelf_4 at 1105; Hanger rail at 1962 (hangs to Shelf_4); Hanger_mid rail at 1010 (hangs to Bottom)</t>
        </is>
      </c>
      <c r="H21" s="8" t="n"/>
      <c r="I21" s="8" t="n"/>
      <c r="J21" s="8" t="n"/>
      <c r="K21" s="9">
        <f>IF(H21="No","{""face"":"""&amp;C21&amp;""",""size"":"""&amp;D21&amp;""",""interior"":"&amp;E21&amp;"}","")</f>
        <v/>
      </c>
      <c r="L21" s="8" t="n"/>
      <c r="M21" s="8" t="n"/>
    </row>
    <row r="22">
      <c r="A22" s="7" t="inlineStr">
        <is>
          <t>Mid panel</t>
        </is>
      </c>
      <c r="B22" s="7" t="inlineStr">
        <is>
          <t>Mid panel part not created yet (Prepared Mid Panel, RR-202609-7C4GCN8M)</t>
        </is>
      </c>
      <c r="C22" s="7" t="inlineStr">
        <is>
          <t>left</t>
        </is>
      </c>
      <c r="D22" s="7" t="inlineStr">
        <is>
          <t>S</t>
        </is>
      </c>
      <c r="E22" s="7" t="n">
        <v>0</v>
      </c>
      <c r="F22" s="7" t="inlineStr">
        <is>
          <t>Fullhäng</t>
        </is>
      </c>
      <c r="G22" s="7" t="inlineStr">
        <is>
          <t>Shelf_7 at 393; Hanger rail at 1962 (hangs to Shelf_7)</t>
        </is>
      </c>
      <c r="H22" s="8" t="n"/>
      <c r="I22" s="8" t="n"/>
      <c r="J22" s="8" t="n"/>
      <c r="K22" s="9">
        <f>IF(H22="No","{""face"":"""&amp;C22&amp;""",""size"":"""&amp;D22&amp;""",""interior"":"&amp;E22&amp;"}","")</f>
        <v/>
      </c>
      <c r="L22" s="8" t="n"/>
      <c r="M22" s="8" t="n"/>
    </row>
    <row r="23">
      <c r="A23" s="7" t="inlineStr">
        <is>
          <t>Mid panel</t>
        </is>
      </c>
      <c r="B23" s="7" t="inlineStr">
        <is>
          <t>Mid panel part not created yet (Prepared Mid Panel, RR-202609-7C4GCN8M)</t>
        </is>
      </c>
      <c r="C23" s="7" t="inlineStr">
        <is>
          <t>left</t>
        </is>
      </c>
      <c r="D23" s="7" t="inlineStr">
        <is>
          <t>S</t>
        </is>
      </c>
      <c r="E23" s="7" t="n">
        <v>2</v>
      </c>
      <c r="F23" s="7" t="inlineStr">
        <is>
          <t>Hyllor</t>
        </is>
      </c>
      <c r="G23" s="7" t="inlineStr">
        <is>
          <t>Shelf_1 at 1817; Shelf_2 at 1580; Shelf_3 at 1343; Shelf_4 at 1105; Shelf_5 at 868; Shelf_6 at 630; Shelf_7 at 393</t>
        </is>
      </c>
      <c r="H23" s="8" t="n"/>
      <c r="I23" s="8" t="n"/>
      <c r="J23" s="8" t="n"/>
      <c r="K23" s="9">
        <f>IF(H23="No","{""face"":"""&amp;C23&amp;""",""size"":"""&amp;D23&amp;""",""interior"":"&amp;E23&amp;"}","")</f>
        <v/>
      </c>
      <c r="L23" s="8" t="n"/>
      <c r="M23" s="8" t="n"/>
    </row>
    <row r="24">
      <c r="A24" s="7" t="inlineStr">
        <is>
          <t>Mid panel</t>
        </is>
      </c>
      <c r="B24" s="7" t="inlineStr">
        <is>
          <t>Mid panel part not created yet (Prepared Mid Panel, RR-202609-7C4GCN8M)</t>
        </is>
      </c>
      <c r="C24" s="7" t="inlineStr">
        <is>
          <t>left</t>
        </is>
      </c>
      <c r="D24" s="7" t="inlineStr">
        <is>
          <t>S</t>
        </is>
      </c>
      <c r="E24" s="7" t="n">
        <v>4</v>
      </c>
      <c r="F24" s="7" t="inlineStr">
        <is>
          <t>Hyllor + häng</t>
        </is>
      </c>
      <c r="G24" s="7" t="inlineStr">
        <is>
          <t>Shelf_5 at 868; Shelf_6 at 630; Shelf_7 at 393; Hanger rail at 1962 (hangs to Shelf_5)</t>
        </is>
      </c>
      <c r="H24" s="8" t="n"/>
      <c r="I24" s="8" t="n"/>
      <c r="J24" s="8" t="n"/>
      <c r="K24" s="9">
        <f>IF(H24="No","{""face"":"""&amp;C24&amp;""",""size"":"""&amp;D24&amp;""",""interior"":"&amp;E24&amp;"}","")</f>
        <v/>
      </c>
      <c r="L24" s="8" t="n"/>
      <c r="M24" s="8" t="n"/>
    </row>
    <row r="25">
      <c r="A25" s="7" t="inlineStr">
        <is>
          <t>Mid panel</t>
        </is>
      </c>
      <c r="B25" s="7" t="inlineStr">
        <is>
          <t>Mid panel part not created yet (Prepared Mid Panel, RR-202609-7C4GCN8M)</t>
        </is>
      </c>
      <c r="C25" s="7" t="inlineStr">
        <is>
          <t>left</t>
        </is>
      </c>
      <c r="D25" s="7" t="inlineStr">
        <is>
          <t>S</t>
        </is>
      </c>
      <c r="E25" s="7" t="n">
        <v>5</v>
      </c>
      <c r="F25" s="7" t="inlineStr">
        <is>
          <t>Dubbelhäng</t>
        </is>
      </c>
      <c r="G25" s="7" t="inlineStr">
        <is>
          <t>Shelf_5 at 868; Hanger rail at 1962 (hangs to Shelf_5); Hanger_bottom rail at 773 (hangs to Bottom)</t>
        </is>
      </c>
      <c r="H25" s="8" t="n"/>
      <c r="I25" s="8" t="n"/>
      <c r="J25" s="8" t="n"/>
      <c r="K25" s="9">
        <f>IF(H25="No","{""face"":"""&amp;C25&amp;""",""size"":"""&amp;D25&amp;""",""interior"":"&amp;E25&amp;"}","")</f>
        <v/>
      </c>
      <c r="L25" s="8" t="n"/>
      <c r="M25" s="8" t="n"/>
    </row>
    <row r="26">
      <c r="A26" s="7" t="inlineStr">
        <is>
          <t>Mid panel</t>
        </is>
      </c>
      <c r="B26" s="7" t="inlineStr">
        <is>
          <t>Mid panel part not created yet (Prepared Mid Panel, RR-202609-7C4GCN8M)</t>
        </is>
      </c>
      <c r="C26" s="7" t="inlineStr">
        <is>
          <t>left</t>
        </is>
      </c>
      <c r="D26" s="7" t="inlineStr">
        <is>
          <t>S</t>
        </is>
      </c>
      <c r="E26" s="7" t="n">
        <v>7</v>
      </c>
      <c r="F26" s="7" t="inlineStr">
        <is>
          <t>Dubbelhäng 50/50</t>
        </is>
      </c>
      <c r="G26" s="7" t="inlineStr">
        <is>
          <t>Shelf_4 at 1105; Hanger rail at 1962 (hangs to Shelf_4); Hanger_mid rail at 1010 (hangs to Bottom)</t>
        </is>
      </c>
      <c r="H26" s="8" t="n"/>
      <c r="I26" s="8" t="n"/>
      <c r="J26" s="8" t="n"/>
      <c r="K26" s="9">
        <f>IF(H26="No","{""face"":"""&amp;C26&amp;""",""size"":"""&amp;D26&amp;""",""interior"":"&amp;E26&amp;"}","")</f>
        <v/>
      </c>
      <c r="L26" s="8" t="n"/>
      <c r="M26" s="8" t="n"/>
    </row>
    <row r="27">
      <c r="A27" s="7" t="inlineStr">
        <is>
          <t>Mid panel</t>
        </is>
      </c>
      <c r="B27" s="7" t="inlineStr">
        <is>
          <t>Mid panel part not created yet (Prepared Mid Panel, RR-202609-7C4GCN8M)</t>
        </is>
      </c>
      <c r="C27" s="7" t="inlineStr">
        <is>
          <t>left</t>
        </is>
      </c>
      <c r="D27" s="7" t="inlineStr">
        <is>
          <t>M</t>
        </is>
      </c>
      <c r="E27" s="7" t="n">
        <v>0</v>
      </c>
      <c r="F27" s="7" t="inlineStr">
        <is>
          <t>Fullhäng</t>
        </is>
      </c>
      <c r="G27" s="7" t="inlineStr">
        <is>
          <t>Shelf_7 at 393; Hanger rail at 1962 (hangs to Shelf_7)</t>
        </is>
      </c>
      <c r="H27" s="8" t="n"/>
      <c r="I27" s="8" t="n"/>
      <c r="J27" s="8" t="n"/>
      <c r="K27" s="9">
        <f>IF(H27="No","{""face"":"""&amp;C27&amp;""",""size"":"""&amp;D27&amp;""",""interior"":"&amp;E27&amp;"}","")</f>
        <v/>
      </c>
      <c r="L27" s="8" t="n"/>
      <c r="M27" s="8" t="n"/>
    </row>
    <row r="28">
      <c r="A28" s="7" t="inlineStr">
        <is>
          <t>Mid panel</t>
        </is>
      </c>
      <c r="B28" s="7" t="inlineStr">
        <is>
          <t>Mid panel part not created yet (Prepared Mid Panel, RR-202609-7C4GCN8M)</t>
        </is>
      </c>
      <c r="C28" s="7" t="inlineStr">
        <is>
          <t>left</t>
        </is>
      </c>
      <c r="D28" s="7" t="inlineStr">
        <is>
          <t>M</t>
        </is>
      </c>
      <c r="E28" s="7" t="n">
        <v>1</v>
      </c>
      <c r="F28" s="7" t="inlineStr">
        <is>
          <t>Lådor + häng</t>
        </is>
      </c>
      <c r="G28" s="7" t="inlineStr">
        <is>
          <t>Shelf_5 at 868; Hanger rail at 1962 (hangs to Shelf_5); 2 drawers: 634–857, 409–632</t>
        </is>
      </c>
      <c r="H28" s="8" t="n"/>
      <c r="I28" s="8" t="n"/>
      <c r="J28" s="8" t="n"/>
      <c r="K28" s="9">
        <f>IF(H28="No","{""face"":"""&amp;C28&amp;""",""size"":"""&amp;D28&amp;""",""interior"":"&amp;E28&amp;"}","")</f>
        <v/>
      </c>
      <c r="L28" s="8" t="n"/>
      <c r="M28" s="8" t="n"/>
    </row>
    <row r="29">
      <c r="A29" s="7" t="inlineStr">
        <is>
          <t>Mid panel</t>
        </is>
      </c>
      <c r="B29" s="7" t="inlineStr">
        <is>
          <t>Mid panel part not created yet (Prepared Mid Panel, RR-202609-7C4GCN8M)</t>
        </is>
      </c>
      <c r="C29" s="7" t="inlineStr">
        <is>
          <t>left</t>
        </is>
      </c>
      <c r="D29" s="7" t="inlineStr">
        <is>
          <t>M</t>
        </is>
      </c>
      <c r="E29" s="7" t="n">
        <v>2</v>
      </c>
      <c r="F29" s="7" t="inlineStr">
        <is>
          <t>Hyllor</t>
        </is>
      </c>
      <c r="G29" s="7" t="inlineStr">
        <is>
          <t>Shelf_1 at 1817; Shelf_2 at 1580; Shelf_3 at 1343; Shelf_4 at 1105; Shelf_5 at 868; Shelf_6 at 630; Shelf_7 at 393</t>
        </is>
      </c>
      <c r="H29" s="8" t="n"/>
      <c r="I29" s="8" t="n"/>
      <c r="J29" s="8" t="n"/>
      <c r="K29" s="9">
        <f>IF(H29="No","{""face"":"""&amp;C29&amp;""",""size"":"""&amp;D29&amp;""",""interior"":"&amp;E29&amp;"}","")</f>
        <v/>
      </c>
      <c r="L29" s="8" t="n"/>
      <c r="M29" s="8" t="n"/>
    </row>
    <row r="30">
      <c r="A30" s="7" t="inlineStr">
        <is>
          <t>Mid panel</t>
        </is>
      </c>
      <c r="B30" s="7" t="inlineStr">
        <is>
          <t>Mid panel part not created yet (Prepared Mid Panel, RR-202609-7C4GCN8M)</t>
        </is>
      </c>
      <c r="C30" s="7" t="inlineStr">
        <is>
          <t>left</t>
        </is>
      </c>
      <c r="D30" s="7" t="inlineStr">
        <is>
          <t>M</t>
        </is>
      </c>
      <c r="E30" s="7" t="n">
        <v>4</v>
      </c>
      <c r="F30" s="7" t="inlineStr">
        <is>
          <t>Hyllor + häng</t>
        </is>
      </c>
      <c r="G30" s="7" t="inlineStr">
        <is>
          <t>Shelf_5 at 868; Shelf_6 at 630; Shelf_7 at 393; Hanger rail at 1962 (hangs to Shelf_5)</t>
        </is>
      </c>
      <c r="H30" s="8" t="n"/>
      <c r="I30" s="8" t="n"/>
      <c r="J30" s="8" t="n"/>
      <c r="K30" s="9">
        <f>IF(H30="No","{""face"":"""&amp;C30&amp;""",""size"":"""&amp;D30&amp;""",""interior"":"&amp;E30&amp;"}","")</f>
        <v/>
      </c>
      <c r="L30" s="8" t="n"/>
      <c r="M30" s="8" t="n"/>
    </row>
    <row r="31">
      <c r="A31" s="7" t="inlineStr">
        <is>
          <t>Mid panel</t>
        </is>
      </c>
      <c r="B31" s="7" t="inlineStr">
        <is>
          <t>Mid panel part not created yet (Prepared Mid Panel, RR-202609-7C4GCN8M)</t>
        </is>
      </c>
      <c r="C31" s="7" t="inlineStr">
        <is>
          <t>left</t>
        </is>
      </c>
      <c r="D31" s="7" t="inlineStr">
        <is>
          <t>M</t>
        </is>
      </c>
      <c r="E31" s="7" t="n">
        <v>5</v>
      </c>
      <c r="F31" s="7" t="inlineStr">
        <is>
          <t>Dubbelhäng</t>
        </is>
      </c>
      <c r="G31" s="7" t="inlineStr">
        <is>
          <t>Shelf_5 at 868; Hanger rail at 1962 (hangs to Shelf_5); Hanger_bottom rail at 773 (hangs to Bottom)</t>
        </is>
      </c>
      <c r="H31" s="8" t="n"/>
      <c r="I31" s="8" t="n"/>
      <c r="J31" s="8" t="n"/>
      <c r="K31" s="9">
        <f>IF(H31="No","{""face"":"""&amp;C31&amp;""",""size"":"""&amp;D31&amp;""",""interior"":"&amp;E31&amp;"}","")</f>
        <v/>
      </c>
      <c r="L31" s="8" t="n"/>
      <c r="M31" s="8" t="n"/>
    </row>
    <row r="32">
      <c r="A32" s="7" t="inlineStr">
        <is>
          <t>Mid panel</t>
        </is>
      </c>
      <c r="B32" s="7" t="inlineStr">
        <is>
          <t>Mid panel part not created yet (Prepared Mid Panel, RR-202609-7C4GCN8M)</t>
        </is>
      </c>
      <c r="C32" s="7" t="inlineStr">
        <is>
          <t>left</t>
        </is>
      </c>
      <c r="D32" s="7" t="inlineStr">
        <is>
          <t>M</t>
        </is>
      </c>
      <c r="E32" s="7" t="n">
        <v>6</v>
      </c>
      <c r="F32" s="7" t="inlineStr">
        <is>
          <t>Lådor + hyllor</t>
        </is>
      </c>
      <c r="G32" s="7" t="inlineStr">
        <is>
          <t>Shelf_1 at 1817; Shelf_2 at 1580; Shelf_3 at 1343; Shelf_4 at 1105; Shelf_5 at 868; 2 drawers: 634–857, 409–632</t>
        </is>
      </c>
      <c r="H32" s="8" t="n"/>
      <c r="I32" s="8" t="n"/>
      <c r="J32" s="8" t="n"/>
      <c r="K32" s="9">
        <f>IF(H32="No","{""face"":"""&amp;C32&amp;""",""size"":"""&amp;D32&amp;""",""interior"":"&amp;E32&amp;"}","")</f>
        <v/>
      </c>
      <c r="L32" s="8" t="n"/>
      <c r="M32" s="8" t="n"/>
    </row>
    <row r="33">
      <c r="A33" s="7" t="inlineStr">
        <is>
          <t>Mid panel</t>
        </is>
      </c>
      <c r="B33" s="7" t="inlineStr">
        <is>
          <t>Mid panel part not created yet (Prepared Mid Panel, RR-202609-7C4GCN8M)</t>
        </is>
      </c>
      <c r="C33" s="7" t="inlineStr">
        <is>
          <t>left</t>
        </is>
      </c>
      <c r="D33" s="7" t="inlineStr">
        <is>
          <t>M</t>
        </is>
      </c>
      <c r="E33" s="7" t="n">
        <v>7</v>
      </c>
      <c r="F33" s="7" t="inlineStr">
        <is>
          <t>Dubbelhäng 50/50</t>
        </is>
      </c>
      <c r="G33" s="7" t="inlineStr">
        <is>
          <t>Shelf_4 at 1105; Hanger rail at 1962 (hangs to Shelf_4); Hanger_mid rail at 1010 (hangs to Bottom)</t>
        </is>
      </c>
      <c r="H33" s="8" t="n"/>
      <c r="I33" s="8" t="n"/>
      <c r="J33" s="8" t="n"/>
      <c r="K33" s="9">
        <f>IF(H33="No","{""face"":"""&amp;C33&amp;""",""size"":"""&amp;D33&amp;""",""interior"":"&amp;E33&amp;"}","")</f>
        <v/>
      </c>
      <c r="L33" s="8" t="n"/>
      <c r="M33" s="8" t="n"/>
    </row>
    <row r="34">
      <c r="A34" s="7" t="inlineStr">
        <is>
          <t>Mid panel</t>
        </is>
      </c>
      <c r="B34" s="7" t="inlineStr">
        <is>
          <t>Mid panel part not created yet (Prepared Mid Panel, RR-202609-7C4GCN8M)</t>
        </is>
      </c>
      <c r="C34" s="7" t="inlineStr">
        <is>
          <t>left</t>
        </is>
      </c>
      <c r="D34" s="7" t="inlineStr">
        <is>
          <t>L</t>
        </is>
      </c>
      <c r="E34" s="7" t="n">
        <v>0</v>
      </c>
      <c r="F34" s="7" t="inlineStr">
        <is>
          <t>Fullhäng</t>
        </is>
      </c>
      <c r="G34" s="7" t="inlineStr">
        <is>
          <t>Shelf_7 at 393; Hanger rail at 1962 (hangs to Shelf_7)</t>
        </is>
      </c>
      <c r="H34" s="8" t="n"/>
      <c r="I34" s="8" t="n"/>
      <c r="J34" s="8" t="n"/>
      <c r="K34" s="9">
        <f>IF(H34="No","{""face"":"""&amp;C34&amp;""",""size"":"""&amp;D34&amp;""",""interior"":"&amp;E34&amp;"}","")</f>
        <v/>
      </c>
      <c r="L34" s="8" t="n"/>
      <c r="M34" s="8" t="n"/>
    </row>
    <row r="35">
      <c r="A35" s="7" t="inlineStr">
        <is>
          <t>Mid panel</t>
        </is>
      </c>
      <c r="B35" s="7" t="inlineStr">
        <is>
          <t>Mid panel part not created yet (Prepared Mid Panel, RR-202609-7C4GCN8M)</t>
        </is>
      </c>
      <c r="C35" s="7" t="inlineStr">
        <is>
          <t>left</t>
        </is>
      </c>
      <c r="D35" s="7" t="inlineStr">
        <is>
          <t>L</t>
        </is>
      </c>
      <c r="E35" s="7" t="n">
        <v>1</v>
      </c>
      <c r="F35" s="7" t="inlineStr">
        <is>
          <t>Lådor + häng</t>
        </is>
      </c>
      <c r="G35" s="7" t="inlineStr">
        <is>
          <t>Shelf_5 at 868; Hanger rail at 1962 (hangs to Shelf_5); 2 drawers: 634–857, 409–632</t>
        </is>
      </c>
      <c r="H35" s="8" t="n"/>
      <c r="I35" s="8" t="n"/>
      <c r="J35" s="8" t="n"/>
      <c r="K35" s="9">
        <f>IF(H35="No","{""face"":"""&amp;C35&amp;""",""size"":"""&amp;D35&amp;""",""interior"":"&amp;E35&amp;"}","")</f>
        <v/>
      </c>
      <c r="L35" s="8" t="n"/>
      <c r="M35" s="8" t="n"/>
    </row>
    <row r="36">
      <c r="A36" s="7" t="inlineStr">
        <is>
          <t>Mid panel</t>
        </is>
      </c>
      <c r="B36" s="7" t="inlineStr">
        <is>
          <t>Mid panel part not created yet (Prepared Mid Panel, RR-202609-7C4GCN8M)</t>
        </is>
      </c>
      <c r="C36" s="7" t="inlineStr">
        <is>
          <t>left</t>
        </is>
      </c>
      <c r="D36" s="7" t="inlineStr">
        <is>
          <t>L</t>
        </is>
      </c>
      <c r="E36" s="7" t="n">
        <v>2</v>
      </c>
      <c r="F36" s="7" t="inlineStr">
        <is>
          <t>Hyllor</t>
        </is>
      </c>
      <c r="G36" s="7" t="inlineStr">
        <is>
          <t>Shelf_1 at 1817; Shelf_2 at 1580; Shelf_3 at 1343; Shelf_4 at 1105; Shelf_5 at 868; Shelf_6 at 630; Shelf_7 at 393</t>
        </is>
      </c>
      <c r="H36" s="8" t="n"/>
      <c r="I36" s="8" t="n"/>
      <c r="J36" s="8" t="n"/>
      <c r="K36" s="9">
        <f>IF(H36="No","{""face"":"""&amp;C36&amp;""",""size"":"""&amp;D36&amp;""",""interior"":"&amp;E36&amp;"}","")</f>
        <v/>
      </c>
      <c r="L36" s="8" t="n"/>
      <c r="M36" s="8" t="n"/>
    </row>
    <row r="37">
      <c r="A37" s="7" t="inlineStr">
        <is>
          <t>Mid panel</t>
        </is>
      </c>
      <c r="B37" s="7" t="inlineStr">
        <is>
          <t>Mid panel part not created yet (Prepared Mid Panel, RR-202609-7C4GCN8M)</t>
        </is>
      </c>
      <c r="C37" s="7" t="inlineStr">
        <is>
          <t>left</t>
        </is>
      </c>
      <c r="D37" s="7" t="inlineStr">
        <is>
          <t>L</t>
        </is>
      </c>
      <c r="E37" s="7" t="n">
        <v>3</v>
      </c>
      <c r="F37" s="7" t="inlineStr">
        <is>
          <t>BeautyBox</t>
        </is>
      </c>
      <c r="G37" s="7" t="inlineStr">
        <is>
          <t>BeautyBox unit</t>
        </is>
      </c>
      <c r="H37" s="8" t="n"/>
      <c r="I37" s="8" t="n"/>
      <c r="J37" s="8" t="n"/>
      <c r="K37" s="9">
        <f>IF(H37="No","{""face"":"""&amp;C37&amp;""",""size"":"""&amp;D37&amp;""",""interior"":"&amp;E37&amp;"}","")</f>
        <v/>
      </c>
      <c r="L37" s="8" t="n"/>
      <c r="M37" s="8" t="n"/>
    </row>
    <row r="38">
      <c r="A38" s="7" t="inlineStr">
        <is>
          <t>Mid panel</t>
        </is>
      </c>
      <c r="B38" s="7" t="inlineStr">
        <is>
          <t>Mid panel part not created yet (Prepared Mid Panel, RR-202609-7C4GCN8M)</t>
        </is>
      </c>
      <c r="C38" s="7" t="inlineStr">
        <is>
          <t>left</t>
        </is>
      </c>
      <c r="D38" s="7" t="inlineStr">
        <is>
          <t>L</t>
        </is>
      </c>
      <c r="E38" s="7" t="n">
        <v>4</v>
      </c>
      <c r="F38" s="7" t="inlineStr">
        <is>
          <t>Hyllor + häng</t>
        </is>
      </c>
      <c r="G38" s="7" t="inlineStr">
        <is>
          <t>Shelf_5 at 868; Shelf_6 at 630; Shelf_7 at 393; Hanger rail at 1962 (hangs to Shelf_5)</t>
        </is>
      </c>
      <c r="H38" s="8" t="n"/>
      <c r="I38" s="8" t="n"/>
      <c r="J38" s="8" t="n"/>
      <c r="K38" s="9">
        <f>IF(H38="No","{""face"":"""&amp;C38&amp;""",""size"":"""&amp;D38&amp;""",""interior"":"&amp;E38&amp;"}","")</f>
        <v/>
      </c>
      <c r="L38" s="8" t="n"/>
      <c r="M38" s="8" t="n"/>
    </row>
    <row r="39">
      <c r="A39" s="7" t="inlineStr">
        <is>
          <t>Mid panel</t>
        </is>
      </c>
      <c r="B39" s="7" t="inlineStr">
        <is>
          <t>Mid panel part not created yet (Prepared Mid Panel, RR-202609-7C4GCN8M)</t>
        </is>
      </c>
      <c r="C39" s="7" t="inlineStr">
        <is>
          <t>left</t>
        </is>
      </c>
      <c r="D39" s="7" t="inlineStr">
        <is>
          <t>L</t>
        </is>
      </c>
      <c r="E39" s="7" t="n">
        <v>5</v>
      </c>
      <c r="F39" s="7" t="inlineStr">
        <is>
          <t>Dubbelhäng</t>
        </is>
      </c>
      <c r="G39" s="7" t="inlineStr">
        <is>
          <t>Shelf_5 at 868; Hanger rail at 1962 (hangs to Shelf_5); Hanger_bottom rail at 773 (hangs to Bottom)</t>
        </is>
      </c>
      <c r="H39" s="8" t="n"/>
      <c r="I39" s="8" t="n"/>
      <c r="J39" s="8" t="n"/>
      <c r="K39" s="9">
        <f>IF(H39="No","{""face"":"""&amp;C39&amp;""",""size"":"""&amp;D39&amp;""",""interior"":"&amp;E39&amp;"}","")</f>
        <v/>
      </c>
      <c r="L39" s="8" t="n"/>
      <c r="M39" s="8" t="n"/>
    </row>
    <row r="40">
      <c r="A40" s="7" t="inlineStr">
        <is>
          <t>Mid panel</t>
        </is>
      </c>
      <c r="B40" s="7" t="inlineStr">
        <is>
          <t>Mid panel part not created yet (Prepared Mid Panel, RR-202609-7C4GCN8M)</t>
        </is>
      </c>
      <c r="C40" s="7" t="inlineStr">
        <is>
          <t>left</t>
        </is>
      </c>
      <c r="D40" s="7" t="inlineStr">
        <is>
          <t>L</t>
        </is>
      </c>
      <c r="E40" s="7" t="n">
        <v>6</v>
      </c>
      <c r="F40" s="7" t="inlineStr">
        <is>
          <t>Lådor + hyllor</t>
        </is>
      </c>
      <c r="G40" s="7" t="inlineStr">
        <is>
          <t>Shelf_1 at 1817; Shelf_2 at 1580; Shelf_3 at 1343; Shelf_4 at 1105; Shelf_5 at 868; 2 drawers: 634–857, 409–632</t>
        </is>
      </c>
      <c r="H40" s="8" t="n"/>
      <c r="I40" s="8" t="n"/>
      <c r="J40" s="8" t="n"/>
      <c r="K40" s="9">
        <f>IF(H40="No","{""face"":"""&amp;C40&amp;""",""size"":"""&amp;D40&amp;""",""interior"":"&amp;E40&amp;"}","")</f>
        <v/>
      </c>
      <c r="L40" s="8" t="n"/>
      <c r="M40" s="8" t="n"/>
    </row>
    <row r="41">
      <c r="A41" s="7" t="inlineStr">
        <is>
          <t>Mid panel</t>
        </is>
      </c>
      <c r="B41" s="7" t="inlineStr">
        <is>
          <t>Mid panel part not created yet (Prepared Mid Panel, RR-202609-7C4GCN8M)</t>
        </is>
      </c>
      <c r="C41" s="7" t="inlineStr">
        <is>
          <t>left</t>
        </is>
      </c>
      <c r="D41" s="7" t="inlineStr">
        <is>
          <t>L</t>
        </is>
      </c>
      <c r="E41" s="7" t="n">
        <v>7</v>
      </c>
      <c r="F41" s="7" t="inlineStr">
        <is>
          <t>Dubbelhäng 50/50</t>
        </is>
      </c>
      <c r="G41" s="7" t="inlineStr">
        <is>
          <t>Shelf_4 at 1105; Hanger rail at 1962 (hangs to Shelf_4); Hanger_mid rail at 1010 (hangs to Bottom)</t>
        </is>
      </c>
      <c r="H41" s="8" t="n"/>
      <c r="I41" s="8" t="n"/>
      <c r="J41" s="8" t="n"/>
      <c r="K41" s="9">
        <f>IF(H41="No","{""face"":"""&amp;C41&amp;""",""size"":"""&amp;D41&amp;""",""interior"":"&amp;E41&amp;"}","")</f>
        <v/>
      </c>
      <c r="L41" s="8" t="n"/>
      <c r="M41" s="8" t="n"/>
    </row>
    <row r="42">
      <c r="A42" s="7" t="inlineStr">
        <is>
          <t>Mid panel</t>
        </is>
      </c>
      <c r="B42" s="7" t="inlineStr">
        <is>
          <t>Mid panel part not created yet (Prepared Mid Panel, RR-202609-7C4GCN8M)</t>
        </is>
      </c>
      <c r="C42" s="7" t="inlineStr">
        <is>
          <t>right</t>
        </is>
      </c>
      <c r="D42" s="7" t="inlineStr">
        <is>
          <t>S</t>
        </is>
      </c>
      <c r="E42" s="7" t="n">
        <v>0</v>
      </c>
      <c r="F42" s="7" t="inlineStr">
        <is>
          <t>Fullhäng</t>
        </is>
      </c>
      <c r="G42" s="7" t="inlineStr">
        <is>
          <t>Shelf_7 at 393; Hanger rail at 1962 (hangs to Shelf_7)</t>
        </is>
      </c>
      <c r="H42" s="8" t="n"/>
      <c r="I42" s="8" t="n"/>
      <c r="J42" s="8" t="n"/>
      <c r="K42" s="9">
        <f>IF(H42="No","{""face"":"""&amp;C42&amp;""",""size"":"""&amp;D42&amp;""",""interior"":"&amp;E42&amp;"}","")</f>
        <v/>
      </c>
      <c r="L42" s="8" t="n"/>
      <c r="M42" s="8" t="n"/>
    </row>
    <row r="43">
      <c r="A43" s="7" t="inlineStr">
        <is>
          <t>Mid panel</t>
        </is>
      </c>
      <c r="B43" s="7" t="inlineStr">
        <is>
          <t>Mid panel part not created yet (Prepared Mid Panel, RR-202609-7C4GCN8M)</t>
        </is>
      </c>
      <c r="C43" s="7" t="inlineStr">
        <is>
          <t>right</t>
        </is>
      </c>
      <c r="D43" s="7" t="inlineStr">
        <is>
          <t>S</t>
        </is>
      </c>
      <c r="E43" s="7" t="n">
        <v>2</v>
      </c>
      <c r="F43" s="7" t="inlineStr">
        <is>
          <t>Hyllor</t>
        </is>
      </c>
      <c r="G43" s="7" t="inlineStr">
        <is>
          <t>Shelf_1 at 1817; Shelf_2 at 1580; Shelf_3 at 1343; Shelf_4 at 1105; Shelf_5 at 868; Shelf_6 at 630; Shelf_7 at 393</t>
        </is>
      </c>
      <c r="H43" s="8" t="n"/>
      <c r="I43" s="8" t="n"/>
      <c r="J43" s="8" t="n"/>
      <c r="K43" s="9">
        <f>IF(H43="No","{""face"":"""&amp;C43&amp;""",""size"":"""&amp;D43&amp;""",""interior"":"&amp;E43&amp;"}","")</f>
        <v/>
      </c>
      <c r="L43" s="8" t="n"/>
      <c r="M43" s="8" t="n"/>
    </row>
    <row r="44">
      <c r="A44" s="7" t="inlineStr">
        <is>
          <t>Mid panel</t>
        </is>
      </c>
      <c r="B44" s="7" t="inlineStr">
        <is>
          <t>Mid panel part not created yet (Prepared Mid Panel, RR-202609-7C4GCN8M)</t>
        </is>
      </c>
      <c r="C44" s="7" t="inlineStr">
        <is>
          <t>right</t>
        </is>
      </c>
      <c r="D44" s="7" t="inlineStr">
        <is>
          <t>S</t>
        </is>
      </c>
      <c r="E44" s="7" t="n">
        <v>4</v>
      </c>
      <c r="F44" s="7" t="inlineStr">
        <is>
          <t>Hyllor + häng</t>
        </is>
      </c>
      <c r="G44" s="7" t="inlineStr">
        <is>
          <t>Shelf_5 at 868; Shelf_6 at 630; Shelf_7 at 393; Hanger rail at 1962 (hangs to Shelf_5)</t>
        </is>
      </c>
      <c r="H44" s="8" t="n"/>
      <c r="I44" s="8" t="n"/>
      <c r="J44" s="8" t="n"/>
      <c r="K44" s="9">
        <f>IF(H44="No","{""face"":"""&amp;C44&amp;""",""size"":"""&amp;D44&amp;""",""interior"":"&amp;E44&amp;"}","")</f>
        <v/>
      </c>
      <c r="L44" s="8" t="n"/>
      <c r="M44" s="8" t="n"/>
    </row>
    <row r="45">
      <c r="A45" s="7" t="inlineStr">
        <is>
          <t>Mid panel</t>
        </is>
      </c>
      <c r="B45" s="7" t="inlineStr">
        <is>
          <t>Mid panel part not created yet (Prepared Mid Panel, RR-202609-7C4GCN8M)</t>
        </is>
      </c>
      <c r="C45" s="7" t="inlineStr">
        <is>
          <t>right</t>
        </is>
      </c>
      <c r="D45" s="7" t="inlineStr">
        <is>
          <t>S</t>
        </is>
      </c>
      <c r="E45" s="7" t="n">
        <v>5</v>
      </c>
      <c r="F45" s="7" t="inlineStr">
        <is>
          <t>Dubbelhäng</t>
        </is>
      </c>
      <c r="G45" s="7" t="inlineStr">
        <is>
          <t>Shelf_5 at 868; Hanger rail at 1962 (hangs to Shelf_5); Hanger_bottom rail at 773 (hangs to Bottom)</t>
        </is>
      </c>
      <c r="H45" s="8" t="n"/>
      <c r="I45" s="8" t="n"/>
      <c r="J45" s="8" t="n"/>
      <c r="K45" s="9">
        <f>IF(H45="No","{""face"":"""&amp;C45&amp;""",""size"":"""&amp;D45&amp;""",""interior"":"&amp;E45&amp;"}","")</f>
        <v/>
      </c>
      <c r="L45" s="8" t="n"/>
      <c r="M45" s="8" t="n"/>
    </row>
    <row r="46">
      <c r="A46" s="7" t="inlineStr">
        <is>
          <t>Mid panel</t>
        </is>
      </c>
      <c r="B46" s="7" t="inlineStr">
        <is>
          <t>Mid panel part not created yet (Prepared Mid Panel, RR-202609-7C4GCN8M)</t>
        </is>
      </c>
      <c r="C46" s="7" t="inlineStr">
        <is>
          <t>right</t>
        </is>
      </c>
      <c r="D46" s="7" t="inlineStr">
        <is>
          <t>S</t>
        </is>
      </c>
      <c r="E46" s="7" t="n">
        <v>7</v>
      </c>
      <c r="F46" s="7" t="inlineStr">
        <is>
          <t>Dubbelhäng 50/50</t>
        </is>
      </c>
      <c r="G46" s="7" t="inlineStr">
        <is>
          <t>Shelf_4 at 1105; Hanger rail at 1962 (hangs to Shelf_4); Hanger_mid rail at 1010 (hangs to Bottom)</t>
        </is>
      </c>
      <c r="H46" s="8" t="n"/>
      <c r="I46" s="8" t="n"/>
      <c r="J46" s="8" t="n"/>
      <c r="K46" s="9">
        <f>IF(H46="No","{""face"":"""&amp;C46&amp;""",""size"":"""&amp;D46&amp;""",""interior"":"&amp;E46&amp;"}","")</f>
        <v/>
      </c>
      <c r="L46" s="8" t="n"/>
      <c r="M46" s="8" t="n"/>
    </row>
    <row r="47">
      <c r="A47" s="7" t="inlineStr">
        <is>
          <t>Mid panel</t>
        </is>
      </c>
      <c r="B47" s="7" t="inlineStr">
        <is>
          <t>Mid panel part not created yet (Prepared Mid Panel, RR-202609-7C4GCN8M)</t>
        </is>
      </c>
      <c r="C47" s="7" t="inlineStr">
        <is>
          <t>right</t>
        </is>
      </c>
      <c r="D47" s="7" t="inlineStr">
        <is>
          <t>M</t>
        </is>
      </c>
      <c r="E47" s="7" t="n">
        <v>0</v>
      </c>
      <c r="F47" s="7" t="inlineStr">
        <is>
          <t>Fullhäng</t>
        </is>
      </c>
      <c r="G47" s="7" t="inlineStr">
        <is>
          <t>Shelf_7 at 393; Hanger rail at 1962 (hangs to Shelf_7)</t>
        </is>
      </c>
      <c r="H47" s="8" t="n"/>
      <c r="I47" s="8" t="n"/>
      <c r="J47" s="8" t="n"/>
      <c r="K47" s="9">
        <f>IF(H47="No","{""face"":"""&amp;C47&amp;""",""size"":"""&amp;D47&amp;""",""interior"":"&amp;E47&amp;"}","")</f>
        <v/>
      </c>
      <c r="L47" s="8" t="n"/>
      <c r="M47" s="8" t="n"/>
    </row>
    <row r="48">
      <c r="A48" s="7" t="inlineStr">
        <is>
          <t>Mid panel</t>
        </is>
      </c>
      <c r="B48" s="7" t="inlineStr">
        <is>
          <t>Mid panel part not created yet (Prepared Mid Panel, RR-202609-7C4GCN8M)</t>
        </is>
      </c>
      <c r="C48" s="7" t="inlineStr">
        <is>
          <t>right</t>
        </is>
      </c>
      <c r="D48" s="7" t="inlineStr">
        <is>
          <t>M</t>
        </is>
      </c>
      <c r="E48" s="7" t="n">
        <v>1</v>
      </c>
      <c r="F48" s="7" t="inlineStr">
        <is>
          <t>Lådor + häng</t>
        </is>
      </c>
      <c r="G48" s="7" t="inlineStr">
        <is>
          <t>Shelf_5 at 868; Hanger rail at 1962 (hangs to Shelf_5); 2 drawers: 634–857, 409–632</t>
        </is>
      </c>
      <c r="H48" s="8" t="n"/>
      <c r="I48" s="8" t="n"/>
      <c r="J48" s="8" t="n"/>
      <c r="K48" s="9">
        <f>IF(H48="No","{""face"":"""&amp;C48&amp;""",""size"":"""&amp;D48&amp;""",""interior"":"&amp;E48&amp;"}","")</f>
        <v/>
      </c>
      <c r="L48" s="8" t="n"/>
      <c r="M48" s="8" t="n"/>
    </row>
    <row r="49">
      <c r="A49" s="7" t="inlineStr">
        <is>
          <t>Mid panel</t>
        </is>
      </c>
      <c r="B49" s="7" t="inlineStr">
        <is>
          <t>Mid panel part not created yet (Prepared Mid Panel, RR-202609-7C4GCN8M)</t>
        </is>
      </c>
      <c r="C49" s="7" t="inlineStr">
        <is>
          <t>right</t>
        </is>
      </c>
      <c r="D49" s="7" t="inlineStr">
        <is>
          <t>M</t>
        </is>
      </c>
      <c r="E49" s="7" t="n">
        <v>2</v>
      </c>
      <c r="F49" s="7" t="inlineStr">
        <is>
          <t>Hyllor</t>
        </is>
      </c>
      <c r="G49" s="7" t="inlineStr">
        <is>
          <t>Shelf_1 at 1817; Shelf_2 at 1580; Shelf_3 at 1343; Shelf_4 at 1105; Shelf_5 at 868; Shelf_6 at 630; Shelf_7 at 393</t>
        </is>
      </c>
      <c r="H49" s="8" t="n"/>
      <c r="I49" s="8" t="n"/>
      <c r="J49" s="8" t="n"/>
      <c r="K49" s="9">
        <f>IF(H49="No","{""face"":"""&amp;C49&amp;""",""size"":"""&amp;D49&amp;""",""interior"":"&amp;E49&amp;"}","")</f>
        <v/>
      </c>
      <c r="L49" s="8" t="n"/>
      <c r="M49" s="8" t="n"/>
    </row>
    <row r="50">
      <c r="A50" s="7" t="inlineStr">
        <is>
          <t>Mid panel</t>
        </is>
      </c>
      <c r="B50" s="7" t="inlineStr">
        <is>
          <t>Mid panel part not created yet (Prepared Mid Panel, RR-202609-7C4GCN8M)</t>
        </is>
      </c>
      <c r="C50" s="7" t="inlineStr">
        <is>
          <t>right</t>
        </is>
      </c>
      <c r="D50" s="7" t="inlineStr">
        <is>
          <t>M</t>
        </is>
      </c>
      <c r="E50" s="7" t="n">
        <v>4</v>
      </c>
      <c r="F50" s="7" t="inlineStr">
        <is>
          <t>Hyllor + häng</t>
        </is>
      </c>
      <c r="G50" s="7" t="inlineStr">
        <is>
          <t>Shelf_5 at 868; Shelf_6 at 630; Shelf_7 at 393; Hanger rail at 1962 (hangs to Shelf_5)</t>
        </is>
      </c>
      <c r="H50" s="8" t="n"/>
      <c r="I50" s="8" t="n"/>
      <c r="J50" s="8" t="n"/>
      <c r="K50" s="9">
        <f>IF(H50="No","{""face"":"""&amp;C50&amp;""",""size"":"""&amp;D50&amp;""",""interior"":"&amp;E50&amp;"}","")</f>
        <v/>
      </c>
      <c r="L50" s="8" t="n"/>
      <c r="M50" s="8" t="n"/>
    </row>
    <row r="51">
      <c r="A51" s="7" t="inlineStr">
        <is>
          <t>Mid panel</t>
        </is>
      </c>
      <c r="B51" s="7" t="inlineStr">
        <is>
          <t>Mid panel part not created yet (Prepared Mid Panel, RR-202609-7C4GCN8M)</t>
        </is>
      </c>
      <c r="C51" s="7" t="inlineStr">
        <is>
          <t>right</t>
        </is>
      </c>
      <c r="D51" s="7" t="inlineStr">
        <is>
          <t>M</t>
        </is>
      </c>
      <c r="E51" s="7" t="n">
        <v>5</v>
      </c>
      <c r="F51" s="7" t="inlineStr">
        <is>
          <t>Dubbelhäng</t>
        </is>
      </c>
      <c r="G51" s="7" t="inlineStr">
        <is>
          <t>Shelf_5 at 868; Hanger rail at 1962 (hangs to Shelf_5); Hanger_bottom rail at 773 (hangs to Bottom)</t>
        </is>
      </c>
      <c r="H51" s="8" t="n"/>
      <c r="I51" s="8" t="n"/>
      <c r="J51" s="8" t="n"/>
      <c r="K51" s="9">
        <f>IF(H51="No","{""face"":"""&amp;C51&amp;""",""size"":"""&amp;D51&amp;""",""interior"":"&amp;E51&amp;"}","")</f>
        <v/>
      </c>
      <c r="L51" s="8" t="n"/>
      <c r="M51" s="8" t="n"/>
    </row>
    <row r="52">
      <c r="A52" s="7" t="inlineStr">
        <is>
          <t>Mid panel</t>
        </is>
      </c>
      <c r="B52" s="7" t="inlineStr">
        <is>
          <t>Mid panel part not created yet (Prepared Mid Panel, RR-202609-7C4GCN8M)</t>
        </is>
      </c>
      <c r="C52" s="7" t="inlineStr">
        <is>
          <t>right</t>
        </is>
      </c>
      <c r="D52" s="7" t="inlineStr">
        <is>
          <t>M</t>
        </is>
      </c>
      <c r="E52" s="7" t="n">
        <v>6</v>
      </c>
      <c r="F52" s="7" t="inlineStr">
        <is>
          <t>Lådor + hyllor</t>
        </is>
      </c>
      <c r="G52" s="7" t="inlineStr">
        <is>
          <t>Shelf_1 at 1817; Shelf_2 at 1580; Shelf_3 at 1343; Shelf_4 at 1105; Shelf_5 at 868; 2 drawers: 634–857, 409–632</t>
        </is>
      </c>
      <c r="H52" s="8" t="n"/>
      <c r="I52" s="8" t="n"/>
      <c r="J52" s="8" t="n"/>
      <c r="K52" s="9">
        <f>IF(H52="No","{""face"":"""&amp;C52&amp;""",""size"":"""&amp;D52&amp;""",""interior"":"&amp;E52&amp;"}","")</f>
        <v/>
      </c>
      <c r="L52" s="8" t="n"/>
      <c r="M52" s="8" t="n"/>
    </row>
    <row r="53">
      <c r="A53" s="7" t="inlineStr">
        <is>
          <t>Mid panel</t>
        </is>
      </c>
      <c r="B53" s="7" t="inlineStr">
        <is>
          <t>Mid panel part not created yet (Prepared Mid Panel, RR-202609-7C4GCN8M)</t>
        </is>
      </c>
      <c r="C53" s="7" t="inlineStr">
        <is>
          <t>right</t>
        </is>
      </c>
      <c r="D53" s="7" t="inlineStr">
        <is>
          <t>M</t>
        </is>
      </c>
      <c r="E53" s="7" t="n">
        <v>7</v>
      </c>
      <c r="F53" s="7" t="inlineStr">
        <is>
          <t>Dubbelhäng 50/50</t>
        </is>
      </c>
      <c r="G53" s="7" t="inlineStr">
        <is>
          <t>Shelf_4 at 1105; Hanger rail at 1962 (hangs to Shelf_4); Hanger_mid rail at 1010 (hangs to Bottom)</t>
        </is>
      </c>
      <c r="H53" s="8" t="n"/>
      <c r="I53" s="8" t="n"/>
      <c r="J53" s="8" t="n"/>
      <c r="K53" s="9">
        <f>IF(H53="No","{""face"":"""&amp;C53&amp;""",""size"":"""&amp;D53&amp;""",""interior"":"&amp;E53&amp;"}","")</f>
        <v/>
      </c>
      <c r="L53" s="8" t="n"/>
      <c r="M53" s="8" t="n"/>
    </row>
    <row r="54">
      <c r="A54" s="7" t="inlineStr">
        <is>
          <t>Mid panel</t>
        </is>
      </c>
      <c r="B54" s="7" t="inlineStr">
        <is>
          <t>Mid panel part not created yet (Prepared Mid Panel, RR-202609-7C4GCN8M)</t>
        </is>
      </c>
      <c r="C54" s="7" t="inlineStr">
        <is>
          <t>right</t>
        </is>
      </c>
      <c r="D54" s="7" t="inlineStr">
        <is>
          <t>L</t>
        </is>
      </c>
      <c r="E54" s="7" t="n">
        <v>0</v>
      </c>
      <c r="F54" s="7" t="inlineStr">
        <is>
          <t>Fullhäng</t>
        </is>
      </c>
      <c r="G54" s="7" t="inlineStr">
        <is>
          <t>Shelf_7 at 393; Hanger rail at 1962 (hangs to Shelf_7)</t>
        </is>
      </c>
      <c r="H54" s="8" t="n"/>
      <c r="I54" s="8" t="n"/>
      <c r="J54" s="8" t="n"/>
      <c r="K54" s="9">
        <f>IF(H54="No","{""face"":"""&amp;C54&amp;""",""size"":"""&amp;D54&amp;""",""interior"":"&amp;E54&amp;"}","")</f>
        <v/>
      </c>
      <c r="L54" s="8" t="n"/>
      <c r="M54" s="8" t="n"/>
    </row>
    <row r="55">
      <c r="A55" s="7" t="inlineStr">
        <is>
          <t>Mid panel</t>
        </is>
      </c>
      <c r="B55" s="7" t="inlineStr">
        <is>
          <t>Mid panel part not created yet (Prepared Mid Panel, RR-202609-7C4GCN8M)</t>
        </is>
      </c>
      <c r="C55" s="7" t="inlineStr">
        <is>
          <t>right</t>
        </is>
      </c>
      <c r="D55" s="7" t="inlineStr">
        <is>
          <t>L</t>
        </is>
      </c>
      <c r="E55" s="7" t="n">
        <v>1</v>
      </c>
      <c r="F55" s="7" t="inlineStr">
        <is>
          <t>Lådor + häng</t>
        </is>
      </c>
      <c r="G55" s="7" t="inlineStr">
        <is>
          <t>Shelf_5 at 868; Hanger rail at 1962 (hangs to Shelf_5); 2 drawers: 634–857, 409–632</t>
        </is>
      </c>
      <c r="H55" s="8" t="n"/>
      <c r="I55" s="8" t="n"/>
      <c r="J55" s="8" t="n"/>
      <c r="K55" s="9">
        <f>IF(H55="No","{""face"":"""&amp;C55&amp;""",""size"":"""&amp;D55&amp;""",""interior"":"&amp;E55&amp;"}","")</f>
        <v/>
      </c>
      <c r="L55" s="8" t="n"/>
      <c r="M55" s="8" t="n"/>
    </row>
    <row r="56">
      <c r="A56" s="7" t="inlineStr">
        <is>
          <t>Mid panel</t>
        </is>
      </c>
      <c r="B56" s="7" t="inlineStr">
        <is>
          <t>Mid panel part not created yet (Prepared Mid Panel, RR-202609-7C4GCN8M)</t>
        </is>
      </c>
      <c r="C56" s="7" t="inlineStr">
        <is>
          <t>right</t>
        </is>
      </c>
      <c r="D56" s="7" t="inlineStr">
        <is>
          <t>L</t>
        </is>
      </c>
      <c r="E56" s="7" t="n">
        <v>2</v>
      </c>
      <c r="F56" s="7" t="inlineStr">
        <is>
          <t>Hyllor</t>
        </is>
      </c>
      <c r="G56" s="7" t="inlineStr">
        <is>
          <t>Shelf_1 at 1817; Shelf_2 at 1580; Shelf_3 at 1343; Shelf_4 at 1105; Shelf_5 at 868; Shelf_6 at 630; Shelf_7 at 393</t>
        </is>
      </c>
      <c r="H56" s="8" t="n"/>
      <c r="I56" s="8" t="n"/>
      <c r="J56" s="8" t="n"/>
      <c r="K56" s="9">
        <f>IF(H56="No","{""face"":"""&amp;C56&amp;""",""size"":"""&amp;D56&amp;""",""interior"":"&amp;E56&amp;"}","")</f>
        <v/>
      </c>
      <c r="L56" s="8" t="n"/>
      <c r="M56" s="8" t="n"/>
    </row>
    <row r="57">
      <c r="A57" s="7" t="inlineStr">
        <is>
          <t>Mid panel</t>
        </is>
      </c>
      <c r="B57" s="7" t="inlineStr">
        <is>
          <t>Mid panel part not created yet (Prepared Mid Panel, RR-202609-7C4GCN8M)</t>
        </is>
      </c>
      <c r="C57" s="7" t="inlineStr">
        <is>
          <t>right</t>
        </is>
      </c>
      <c r="D57" s="7" t="inlineStr">
        <is>
          <t>L</t>
        </is>
      </c>
      <c r="E57" s="7" t="n">
        <v>3</v>
      </c>
      <c r="F57" s="7" t="inlineStr">
        <is>
          <t>BeautyBox</t>
        </is>
      </c>
      <c r="G57" s="7" t="inlineStr">
        <is>
          <t>BeautyBox unit</t>
        </is>
      </c>
      <c r="H57" s="8" t="n"/>
      <c r="I57" s="8" t="n"/>
      <c r="J57" s="8" t="n"/>
      <c r="K57" s="9">
        <f>IF(H57="No","{""face"":"""&amp;C57&amp;""",""size"":"""&amp;D57&amp;""",""interior"":"&amp;E57&amp;"}","")</f>
        <v/>
      </c>
      <c r="L57" s="8" t="n"/>
      <c r="M57" s="8" t="n"/>
    </row>
    <row r="58">
      <c r="A58" s="7" t="inlineStr">
        <is>
          <t>Mid panel</t>
        </is>
      </c>
      <c r="B58" s="7" t="inlineStr">
        <is>
          <t>Mid panel part not created yet (Prepared Mid Panel, RR-202609-7C4GCN8M)</t>
        </is>
      </c>
      <c r="C58" s="7" t="inlineStr">
        <is>
          <t>right</t>
        </is>
      </c>
      <c r="D58" s="7" t="inlineStr">
        <is>
          <t>L</t>
        </is>
      </c>
      <c r="E58" s="7" t="n">
        <v>4</v>
      </c>
      <c r="F58" s="7" t="inlineStr">
        <is>
          <t>Hyllor + häng</t>
        </is>
      </c>
      <c r="G58" s="7" t="inlineStr">
        <is>
          <t>Shelf_5 at 868; Shelf_6 at 630; Shelf_7 at 393; Hanger rail at 1962 (hangs to Shelf_5)</t>
        </is>
      </c>
      <c r="H58" s="8" t="n"/>
      <c r="I58" s="8" t="n"/>
      <c r="J58" s="8" t="n"/>
      <c r="K58" s="9">
        <f>IF(H58="No","{""face"":"""&amp;C58&amp;""",""size"":"""&amp;D58&amp;""",""interior"":"&amp;E58&amp;"}","")</f>
        <v/>
      </c>
      <c r="L58" s="8" t="n"/>
      <c r="M58" s="8" t="n"/>
    </row>
    <row r="59">
      <c r="A59" s="7" t="inlineStr">
        <is>
          <t>Mid panel</t>
        </is>
      </c>
      <c r="B59" s="7" t="inlineStr">
        <is>
          <t>Mid panel part not created yet (Prepared Mid Panel, RR-202609-7C4GCN8M)</t>
        </is>
      </c>
      <c r="C59" s="7" t="inlineStr">
        <is>
          <t>right</t>
        </is>
      </c>
      <c r="D59" s="7" t="inlineStr">
        <is>
          <t>L</t>
        </is>
      </c>
      <c r="E59" s="7" t="n">
        <v>5</v>
      </c>
      <c r="F59" s="7" t="inlineStr">
        <is>
          <t>Dubbelhäng</t>
        </is>
      </c>
      <c r="G59" s="7" t="inlineStr">
        <is>
          <t>Shelf_5 at 868; Hanger rail at 1962 (hangs to Shelf_5); Hanger_bottom rail at 773 (hangs to Bottom)</t>
        </is>
      </c>
      <c r="H59" s="8" t="n"/>
      <c r="I59" s="8" t="n"/>
      <c r="J59" s="8" t="n"/>
      <c r="K59" s="9">
        <f>IF(H59="No","{""face"":"""&amp;C59&amp;""",""size"":"""&amp;D59&amp;""",""interior"":"&amp;E59&amp;"}","")</f>
        <v/>
      </c>
      <c r="L59" s="8" t="n"/>
      <c r="M59" s="8" t="n"/>
    </row>
    <row r="60">
      <c r="A60" s="7" t="inlineStr">
        <is>
          <t>Mid panel</t>
        </is>
      </c>
      <c r="B60" s="7" t="inlineStr">
        <is>
          <t>Mid panel part not created yet (Prepared Mid Panel, RR-202609-7C4GCN8M)</t>
        </is>
      </c>
      <c r="C60" s="7" t="inlineStr">
        <is>
          <t>right</t>
        </is>
      </c>
      <c r="D60" s="7" t="inlineStr">
        <is>
          <t>L</t>
        </is>
      </c>
      <c r="E60" s="7" t="n">
        <v>6</v>
      </c>
      <c r="F60" s="7" t="inlineStr">
        <is>
          <t>Lådor + hyllor</t>
        </is>
      </c>
      <c r="G60" s="7" t="inlineStr">
        <is>
          <t>Shelf_1 at 1817; Shelf_2 at 1580; Shelf_3 at 1343; Shelf_4 at 1105; Shelf_5 at 868; 2 drawers: 634–857, 409–632</t>
        </is>
      </c>
      <c r="H60" s="8" t="n"/>
      <c r="I60" s="8" t="n"/>
      <c r="J60" s="8" t="n"/>
      <c r="K60" s="9">
        <f>IF(H60="No","{""face"":"""&amp;C60&amp;""",""size"":"""&amp;D60&amp;""",""interior"":"&amp;E60&amp;"}","")</f>
        <v/>
      </c>
      <c r="L60" s="8" t="n"/>
      <c r="M60" s="8" t="n"/>
    </row>
    <row r="61">
      <c r="A61" s="7" t="inlineStr">
        <is>
          <t>Mid panel</t>
        </is>
      </c>
      <c r="B61" s="7" t="inlineStr">
        <is>
          <t>Mid panel part not created yet (Prepared Mid Panel, RR-202609-7C4GCN8M)</t>
        </is>
      </c>
      <c r="C61" s="7" t="inlineStr">
        <is>
          <t>right</t>
        </is>
      </c>
      <c r="D61" s="7" t="inlineStr">
        <is>
          <t>L</t>
        </is>
      </c>
      <c r="E61" s="7" t="n">
        <v>7</v>
      </c>
      <c r="F61" s="7" t="inlineStr">
        <is>
          <t>Dubbelhäng 50/50</t>
        </is>
      </c>
      <c r="G61" s="7" t="inlineStr">
        <is>
          <t>Shelf_4 at 1105; Hanger rail at 1962 (hangs to Shelf_4); Hanger_mid rail at 1010 (hangs to Bottom)</t>
        </is>
      </c>
      <c r="H61" s="8" t="n"/>
      <c r="I61" s="8" t="n"/>
      <c r="J61" s="8" t="n"/>
      <c r="K61" s="9">
        <f>IF(H61="No","{""face"":"""&amp;C61&amp;""",""size"":"""&amp;D61&amp;""",""interior"":"&amp;E61&amp;"}","")</f>
        <v/>
      </c>
      <c r="L61" s="8" t="n"/>
      <c r="M61" s="8" t="n"/>
    </row>
    <row r="62">
      <c r="A62" s="7" t="inlineStr">
        <is>
          <t>Right side</t>
        </is>
      </c>
      <c r="B62" s="7" t="inlineStr">
        <is>
          <t>Right Side Panel - White (in Prepared Right Side Panel, RR-202609-WWQTVTEA)</t>
        </is>
      </c>
      <c r="C62" s="7" t="inlineStr">
        <is>
          <t>left</t>
        </is>
      </c>
      <c r="D62" s="7" t="inlineStr">
        <is>
          <t>S</t>
        </is>
      </c>
      <c r="E62" s="7" t="n">
        <v>0</v>
      </c>
      <c r="F62" s="7" t="inlineStr">
        <is>
          <t>Fullhäng</t>
        </is>
      </c>
      <c r="G62" s="7" t="inlineStr">
        <is>
          <t>Shelf_7 at 393; Hanger rail at 1962 (hangs to Shelf_7)</t>
        </is>
      </c>
      <c r="H62" s="8" t="n"/>
      <c r="I62" s="8" t="n"/>
      <c r="J62" s="8" t="n"/>
      <c r="K62" s="9">
        <f>IF(H62="No","{""face"":"""&amp;C62&amp;""",""size"":"""&amp;D62&amp;""",""interior"":"&amp;E62&amp;"}","")</f>
        <v/>
      </c>
      <c r="L62" s="8" t="n"/>
      <c r="M62" s="8" t="n"/>
    </row>
    <row r="63">
      <c r="A63" s="7" t="inlineStr">
        <is>
          <t>Right side</t>
        </is>
      </c>
      <c r="B63" s="7" t="inlineStr">
        <is>
          <t>Right Side Panel - White (in Prepared Right Side Panel, RR-202609-WWQTVTEA)</t>
        </is>
      </c>
      <c r="C63" s="7" t="inlineStr">
        <is>
          <t>left</t>
        </is>
      </c>
      <c r="D63" s="7" t="inlineStr">
        <is>
          <t>S</t>
        </is>
      </c>
      <c r="E63" s="7" t="n">
        <v>2</v>
      </c>
      <c r="F63" s="7" t="inlineStr">
        <is>
          <t>Hyllor</t>
        </is>
      </c>
      <c r="G63" s="7" t="inlineStr">
        <is>
          <t>Shelf_1 at 1817; Shelf_2 at 1580; Shelf_3 at 1343; Shelf_4 at 1105; Shelf_5 at 868; Shelf_6 at 630; Shelf_7 at 393</t>
        </is>
      </c>
      <c r="H63" s="8" t="n"/>
      <c r="I63" s="8" t="n"/>
      <c r="J63" s="8" t="n"/>
      <c r="K63" s="9">
        <f>IF(H63="No","{""face"":"""&amp;C63&amp;""",""size"":"""&amp;D63&amp;""",""interior"":"&amp;E63&amp;"}","")</f>
        <v/>
      </c>
      <c r="L63" s="8" t="n"/>
      <c r="M63" s="8" t="n"/>
    </row>
    <row r="64">
      <c r="A64" s="7" t="inlineStr">
        <is>
          <t>Right side</t>
        </is>
      </c>
      <c r="B64" s="7" t="inlineStr">
        <is>
          <t>Right Side Panel - White (in Prepared Right Side Panel, RR-202609-WWQTVTEA)</t>
        </is>
      </c>
      <c r="C64" s="7" t="inlineStr">
        <is>
          <t>left</t>
        </is>
      </c>
      <c r="D64" s="7" t="inlineStr">
        <is>
          <t>S</t>
        </is>
      </c>
      <c r="E64" s="7" t="n">
        <v>4</v>
      </c>
      <c r="F64" s="7" t="inlineStr">
        <is>
          <t>Hyllor + häng</t>
        </is>
      </c>
      <c r="G64" s="7" t="inlineStr">
        <is>
          <t>Shelf_5 at 868; Shelf_6 at 630; Shelf_7 at 393; Hanger rail at 1962 (hangs to Shelf_5)</t>
        </is>
      </c>
      <c r="H64" s="8" t="n"/>
      <c r="I64" s="8" t="n"/>
      <c r="J64" s="8" t="n"/>
      <c r="K64" s="9">
        <f>IF(H64="No","{""face"":"""&amp;C64&amp;""",""size"":"""&amp;D64&amp;""",""interior"":"&amp;E64&amp;"}","")</f>
        <v/>
      </c>
      <c r="L64" s="8" t="n"/>
      <c r="M64" s="8" t="n"/>
    </row>
    <row r="65">
      <c r="A65" s="7" t="inlineStr">
        <is>
          <t>Right side</t>
        </is>
      </c>
      <c r="B65" s="7" t="inlineStr">
        <is>
          <t>Right Side Panel - White (in Prepared Right Side Panel, RR-202609-WWQTVTEA)</t>
        </is>
      </c>
      <c r="C65" s="7" t="inlineStr">
        <is>
          <t>left</t>
        </is>
      </c>
      <c r="D65" s="7" t="inlineStr">
        <is>
          <t>S</t>
        </is>
      </c>
      <c r="E65" s="7" t="n">
        <v>5</v>
      </c>
      <c r="F65" s="7" t="inlineStr">
        <is>
          <t>Dubbelhäng</t>
        </is>
      </c>
      <c r="G65" s="7" t="inlineStr">
        <is>
          <t>Shelf_5 at 868; Hanger rail at 1962 (hangs to Shelf_5); Hanger_bottom rail at 773 (hangs to Bottom)</t>
        </is>
      </c>
      <c r="H65" s="8" t="n"/>
      <c r="I65" s="8" t="n"/>
      <c r="J65" s="8" t="n"/>
      <c r="K65" s="9">
        <f>IF(H65="No","{""face"":"""&amp;C65&amp;""",""size"":"""&amp;D65&amp;""",""interior"":"&amp;E65&amp;"}","")</f>
        <v/>
      </c>
      <c r="L65" s="8" t="n"/>
      <c r="M65" s="8" t="n"/>
    </row>
    <row r="66">
      <c r="A66" s="7" t="inlineStr">
        <is>
          <t>Right side</t>
        </is>
      </c>
      <c r="B66" s="7" t="inlineStr">
        <is>
          <t>Right Side Panel - White (in Prepared Right Side Panel, RR-202609-WWQTVTEA)</t>
        </is>
      </c>
      <c r="C66" s="7" t="inlineStr">
        <is>
          <t>left</t>
        </is>
      </c>
      <c r="D66" s="7" t="inlineStr">
        <is>
          <t>S</t>
        </is>
      </c>
      <c r="E66" s="7" t="n">
        <v>7</v>
      </c>
      <c r="F66" s="7" t="inlineStr">
        <is>
          <t>Dubbelhäng 50/50</t>
        </is>
      </c>
      <c r="G66" s="7" t="inlineStr">
        <is>
          <t>Shelf_4 at 1105; Hanger rail at 1962 (hangs to Shelf_4); Hanger_mid rail at 1010 (hangs to Bottom)</t>
        </is>
      </c>
      <c r="H66" s="8" t="n"/>
      <c r="I66" s="8" t="n"/>
      <c r="J66" s="8" t="n"/>
      <c r="K66" s="9">
        <f>IF(H66="No","{""face"":"""&amp;C66&amp;""",""size"":"""&amp;D66&amp;""",""interior"":"&amp;E66&amp;"}","")</f>
        <v/>
      </c>
      <c r="L66" s="8" t="n"/>
      <c r="M66" s="8" t="n"/>
    </row>
    <row r="67">
      <c r="A67" s="7" t="inlineStr">
        <is>
          <t>Right side</t>
        </is>
      </c>
      <c r="B67" s="7" t="inlineStr">
        <is>
          <t>Right Side Panel - White (in Prepared Right Side Panel, RR-202609-WWQTVTEA)</t>
        </is>
      </c>
      <c r="C67" s="7" t="inlineStr">
        <is>
          <t>left</t>
        </is>
      </c>
      <c r="D67" s="7" t="inlineStr">
        <is>
          <t>M</t>
        </is>
      </c>
      <c r="E67" s="7" t="n">
        <v>0</v>
      </c>
      <c r="F67" s="7" t="inlineStr">
        <is>
          <t>Fullhäng</t>
        </is>
      </c>
      <c r="G67" s="7" t="inlineStr">
        <is>
          <t>Shelf_7 at 393; Hanger rail at 1962 (hangs to Shelf_7)</t>
        </is>
      </c>
      <c r="H67" s="8" t="n"/>
      <c r="I67" s="8" t="n"/>
      <c r="J67" s="8" t="n"/>
      <c r="K67" s="9">
        <f>IF(H67="No","{""face"":"""&amp;C67&amp;""",""size"":"""&amp;D67&amp;""",""interior"":"&amp;E67&amp;"}","")</f>
        <v/>
      </c>
      <c r="L67" s="8" t="n"/>
      <c r="M67" s="8" t="n"/>
    </row>
    <row r="68">
      <c r="A68" s="7" t="inlineStr">
        <is>
          <t>Right side</t>
        </is>
      </c>
      <c r="B68" s="7" t="inlineStr">
        <is>
          <t>Right Side Panel - White (in Prepared Right Side Panel, RR-202609-WWQTVTEA)</t>
        </is>
      </c>
      <c r="C68" s="7" t="inlineStr">
        <is>
          <t>left</t>
        </is>
      </c>
      <c r="D68" s="7" t="inlineStr">
        <is>
          <t>M</t>
        </is>
      </c>
      <c r="E68" s="7" t="n">
        <v>1</v>
      </c>
      <c r="F68" s="7" t="inlineStr">
        <is>
          <t>Lådor + häng</t>
        </is>
      </c>
      <c r="G68" s="7" t="inlineStr">
        <is>
          <t>Shelf_5 at 868; Hanger rail at 1962 (hangs to Shelf_5); 2 drawers: 634–857, 409–632</t>
        </is>
      </c>
      <c r="H68" s="8" t="n"/>
      <c r="I68" s="8" t="n"/>
      <c r="J68" s="8" t="n"/>
      <c r="K68" s="9">
        <f>IF(H68="No","{""face"":"""&amp;C68&amp;""",""size"":"""&amp;D68&amp;""",""interior"":"&amp;E68&amp;"}","")</f>
        <v/>
      </c>
      <c r="L68" s="8" t="n"/>
      <c r="M68" s="8" t="n"/>
    </row>
    <row r="69">
      <c r="A69" s="7" t="inlineStr">
        <is>
          <t>Right side</t>
        </is>
      </c>
      <c r="B69" s="7" t="inlineStr">
        <is>
          <t>Right Side Panel - White (in Prepared Right Side Panel, RR-202609-WWQTVTEA)</t>
        </is>
      </c>
      <c r="C69" s="7" t="inlineStr">
        <is>
          <t>left</t>
        </is>
      </c>
      <c r="D69" s="7" t="inlineStr">
        <is>
          <t>M</t>
        </is>
      </c>
      <c r="E69" s="7" t="n">
        <v>2</v>
      </c>
      <c r="F69" s="7" t="inlineStr">
        <is>
          <t>Hyllor</t>
        </is>
      </c>
      <c r="G69" s="7" t="inlineStr">
        <is>
          <t>Shelf_1 at 1817; Shelf_2 at 1580; Shelf_3 at 1343; Shelf_4 at 1105; Shelf_5 at 868; Shelf_6 at 630; Shelf_7 at 393</t>
        </is>
      </c>
      <c r="H69" s="8" t="n"/>
      <c r="I69" s="8" t="n"/>
      <c r="J69" s="8" t="n"/>
      <c r="K69" s="9">
        <f>IF(H69="No","{""face"":"""&amp;C69&amp;""",""size"":"""&amp;D69&amp;""",""interior"":"&amp;E69&amp;"}","")</f>
        <v/>
      </c>
      <c r="L69" s="8" t="n"/>
      <c r="M69" s="8" t="n"/>
    </row>
    <row r="70">
      <c r="A70" s="7" t="inlineStr">
        <is>
          <t>Right side</t>
        </is>
      </c>
      <c r="B70" s="7" t="inlineStr">
        <is>
          <t>Right Side Panel - White (in Prepared Right Side Panel, RR-202609-WWQTVTEA)</t>
        </is>
      </c>
      <c r="C70" s="7" t="inlineStr">
        <is>
          <t>left</t>
        </is>
      </c>
      <c r="D70" s="7" t="inlineStr">
        <is>
          <t>M</t>
        </is>
      </c>
      <c r="E70" s="7" t="n">
        <v>4</v>
      </c>
      <c r="F70" s="7" t="inlineStr">
        <is>
          <t>Hyllor + häng</t>
        </is>
      </c>
      <c r="G70" s="7" t="inlineStr">
        <is>
          <t>Shelf_5 at 868; Shelf_6 at 630; Shelf_7 at 393; Hanger rail at 1962 (hangs to Shelf_5)</t>
        </is>
      </c>
      <c r="H70" s="8" t="n"/>
      <c r="I70" s="8" t="n"/>
      <c r="J70" s="8" t="n"/>
      <c r="K70" s="9">
        <f>IF(H70="No","{""face"":"""&amp;C70&amp;""",""size"":"""&amp;D70&amp;""",""interior"":"&amp;E70&amp;"}","")</f>
        <v/>
      </c>
      <c r="L70" s="8" t="n"/>
      <c r="M70" s="8" t="n"/>
    </row>
    <row r="71">
      <c r="A71" s="7" t="inlineStr">
        <is>
          <t>Right side</t>
        </is>
      </c>
      <c r="B71" s="7" t="inlineStr">
        <is>
          <t>Right Side Panel - White (in Prepared Right Side Panel, RR-202609-WWQTVTEA)</t>
        </is>
      </c>
      <c r="C71" s="7" t="inlineStr">
        <is>
          <t>left</t>
        </is>
      </c>
      <c r="D71" s="7" t="inlineStr">
        <is>
          <t>M</t>
        </is>
      </c>
      <c r="E71" s="7" t="n">
        <v>5</v>
      </c>
      <c r="F71" s="7" t="inlineStr">
        <is>
          <t>Dubbelhäng</t>
        </is>
      </c>
      <c r="G71" s="7" t="inlineStr">
        <is>
          <t>Shelf_5 at 868; Hanger rail at 1962 (hangs to Shelf_5); Hanger_bottom rail at 773 (hangs to Bottom)</t>
        </is>
      </c>
      <c r="H71" s="8" t="n"/>
      <c r="I71" s="8" t="n"/>
      <c r="J71" s="8" t="n"/>
      <c r="K71" s="9">
        <f>IF(H71="No","{""face"":"""&amp;C71&amp;""",""size"":"""&amp;D71&amp;""",""interior"":"&amp;E71&amp;"}","")</f>
        <v/>
      </c>
      <c r="L71" s="8" t="n"/>
      <c r="M71" s="8" t="n"/>
    </row>
    <row r="72">
      <c r="A72" s="7" t="inlineStr">
        <is>
          <t>Right side</t>
        </is>
      </c>
      <c r="B72" s="7" t="inlineStr">
        <is>
          <t>Right Side Panel - White (in Prepared Right Side Panel, RR-202609-WWQTVTEA)</t>
        </is>
      </c>
      <c r="C72" s="7" t="inlineStr">
        <is>
          <t>left</t>
        </is>
      </c>
      <c r="D72" s="7" t="inlineStr">
        <is>
          <t>M</t>
        </is>
      </c>
      <c r="E72" s="7" t="n">
        <v>6</v>
      </c>
      <c r="F72" s="7" t="inlineStr">
        <is>
          <t>Lådor + hyllor</t>
        </is>
      </c>
      <c r="G72" s="7" t="inlineStr">
        <is>
          <t>Shelf_1 at 1817; Shelf_2 at 1580; Shelf_3 at 1343; Shelf_4 at 1105; Shelf_5 at 868; 2 drawers: 634–857, 409–632</t>
        </is>
      </c>
      <c r="H72" s="8" t="n"/>
      <c r="I72" s="8" t="n"/>
      <c r="J72" s="8" t="n"/>
      <c r="K72" s="9">
        <f>IF(H72="No","{""face"":"""&amp;C72&amp;""",""size"":"""&amp;D72&amp;""",""interior"":"&amp;E72&amp;"}","")</f>
        <v/>
      </c>
      <c r="L72" s="8" t="n"/>
      <c r="M72" s="8" t="n"/>
    </row>
    <row r="73">
      <c r="A73" s="7" t="inlineStr">
        <is>
          <t>Right side</t>
        </is>
      </c>
      <c r="B73" s="7" t="inlineStr">
        <is>
          <t>Right Side Panel - White (in Prepared Right Side Panel, RR-202609-WWQTVTEA)</t>
        </is>
      </c>
      <c r="C73" s="7" t="inlineStr">
        <is>
          <t>left</t>
        </is>
      </c>
      <c r="D73" s="7" t="inlineStr">
        <is>
          <t>M</t>
        </is>
      </c>
      <c r="E73" s="7" t="n">
        <v>7</v>
      </c>
      <c r="F73" s="7" t="inlineStr">
        <is>
          <t>Dubbelhäng 50/50</t>
        </is>
      </c>
      <c r="G73" s="7" t="inlineStr">
        <is>
          <t>Shelf_4 at 1105; Hanger rail at 1962 (hangs to Shelf_4); Hanger_mid rail at 1010 (hangs to Bottom)</t>
        </is>
      </c>
      <c r="H73" s="8" t="n"/>
      <c r="I73" s="8" t="n"/>
      <c r="J73" s="8" t="n"/>
      <c r="K73" s="9">
        <f>IF(H73="No","{""face"":"""&amp;C73&amp;""",""size"":"""&amp;D73&amp;""",""interior"":"&amp;E73&amp;"}","")</f>
        <v/>
      </c>
      <c r="L73" s="8" t="n"/>
      <c r="M73" s="8" t="n"/>
    </row>
    <row r="74">
      <c r="A74" s="7" t="inlineStr">
        <is>
          <t>Right side</t>
        </is>
      </c>
      <c r="B74" s="7" t="inlineStr">
        <is>
          <t>Right Side Panel - White (in Prepared Right Side Panel, RR-202609-WWQTVTEA)</t>
        </is>
      </c>
      <c r="C74" s="7" t="inlineStr">
        <is>
          <t>left</t>
        </is>
      </c>
      <c r="D74" s="7" t="inlineStr">
        <is>
          <t>L</t>
        </is>
      </c>
      <c r="E74" s="7" t="n">
        <v>0</v>
      </c>
      <c r="F74" s="7" t="inlineStr">
        <is>
          <t>Fullhäng</t>
        </is>
      </c>
      <c r="G74" s="7" t="inlineStr">
        <is>
          <t>Shelf_7 at 393; Hanger rail at 1962 (hangs to Shelf_7)</t>
        </is>
      </c>
      <c r="H74" s="8" t="n"/>
      <c r="I74" s="8" t="n"/>
      <c r="J74" s="8" t="n"/>
      <c r="K74" s="9">
        <f>IF(H74="No","{""face"":"""&amp;C74&amp;""",""size"":"""&amp;D74&amp;""",""interior"":"&amp;E74&amp;"}","")</f>
        <v/>
      </c>
      <c r="L74" s="8" t="n"/>
      <c r="M74" s="8" t="n"/>
    </row>
    <row r="75">
      <c r="A75" s="7" t="inlineStr">
        <is>
          <t>Right side</t>
        </is>
      </c>
      <c r="B75" s="7" t="inlineStr">
        <is>
          <t>Right Side Panel - White (in Prepared Right Side Panel, RR-202609-WWQTVTEA)</t>
        </is>
      </c>
      <c r="C75" s="7" t="inlineStr">
        <is>
          <t>left</t>
        </is>
      </c>
      <c r="D75" s="7" t="inlineStr">
        <is>
          <t>L</t>
        </is>
      </c>
      <c r="E75" s="7" t="n">
        <v>1</v>
      </c>
      <c r="F75" s="7" t="inlineStr">
        <is>
          <t>Lådor + häng</t>
        </is>
      </c>
      <c r="G75" s="7" t="inlineStr">
        <is>
          <t>Shelf_5 at 868; Hanger rail at 1962 (hangs to Shelf_5); 2 drawers: 634–857, 409–632</t>
        </is>
      </c>
      <c r="H75" s="8" t="n"/>
      <c r="I75" s="8" t="n"/>
      <c r="J75" s="8" t="n"/>
      <c r="K75" s="9">
        <f>IF(H75="No","{""face"":"""&amp;C75&amp;""",""size"":"""&amp;D75&amp;""",""interior"":"&amp;E75&amp;"}","")</f>
        <v/>
      </c>
      <c r="L75" s="8" t="n"/>
      <c r="M75" s="8" t="n"/>
    </row>
    <row r="76">
      <c r="A76" s="7" t="inlineStr">
        <is>
          <t>Right side</t>
        </is>
      </c>
      <c r="B76" s="7" t="inlineStr">
        <is>
          <t>Right Side Panel - White (in Prepared Right Side Panel, RR-202609-WWQTVTEA)</t>
        </is>
      </c>
      <c r="C76" s="7" t="inlineStr">
        <is>
          <t>left</t>
        </is>
      </c>
      <c r="D76" s="7" t="inlineStr">
        <is>
          <t>L</t>
        </is>
      </c>
      <c r="E76" s="7" t="n">
        <v>2</v>
      </c>
      <c r="F76" s="7" t="inlineStr">
        <is>
          <t>Hyllor</t>
        </is>
      </c>
      <c r="G76" s="7" t="inlineStr">
        <is>
          <t>Shelf_1 at 1817; Shelf_2 at 1580; Shelf_3 at 1343; Shelf_4 at 1105; Shelf_5 at 868; Shelf_6 at 630; Shelf_7 at 393</t>
        </is>
      </c>
      <c r="H76" s="8" t="n"/>
      <c r="I76" s="8" t="n"/>
      <c r="J76" s="8" t="n"/>
      <c r="K76" s="9">
        <f>IF(H76="No","{""face"":"""&amp;C76&amp;""",""size"":"""&amp;D76&amp;""",""interior"":"&amp;E76&amp;"}","")</f>
        <v/>
      </c>
      <c r="L76" s="8" t="n"/>
      <c r="M76" s="8" t="n"/>
    </row>
    <row r="77">
      <c r="A77" s="7" t="inlineStr">
        <is>
          <t>Right side</t>
        </is>
      </c>
      <c r="B77" s="7" t="inlineStr">
        <is>
          <t>Right Side Panel - White (in Prepared Right Side Panel, RR-202609-WWQTVTEA)</t>
        </is>
      </c>
      <c r="C77" s="7" t="inlineStr">
        <is>
          <t>left</t>
        </is>
      </c>
      <c r="D77" s="7" t="inlineStr">
        <is>
          <t>L</t>
        </is>
      </c>
      <c r="E77" s="7" t="n">
        <v>3</v>
      </c>
      <c r="F77" s="7" t="inlineStr">
        <is>
          <t>BeautyBox</t>
        </is>
      </c>
      <c r="G77" s="7" t="inlineStr">
        <is>
          <t>BeautyBox unit</t>
        </is>
      </c>
      <c r="H77" s="8" t="n"/>
      <c r="I77" s="8" t="n"/>
      <c r="J77" s="8" t="n"/>
      <c r="K77" s="9">
        <f>IF(H77="No","{""face"":"""&amp;C77&amp;""",""size"":"""&amp;D77&amp;""",""interior"":"&amp;E77&amp;"}","")</f>
        <v/>
      </c>
      <c r="L77" s="8" t="n"/>
      <c r="M77" s="8" t="n"/>
    </row>
    <row r="78">
      <c r="A78" s="7" t="inlineStr">
        <is>
          <t>Right side</t>
        </is>
      </c>
      <c r="B78" s="7" t="inlineStr">
        <is>
          <t>Right Side Panel - White (in Prepared Right Side Panel, RR-202609-WWQTVTEA)</t>
        </is>
      </c>
      <c r="C78" s="7" t="inlineStr">
        <is>
          <t>left</t>
        </is>
      </c>
      <c r="D78" s="7" t="inlineStr">
        <is>
          <t>L</t>
        </is>
      </c>
      <c r="E78" s="7" t="n">
        <v>4</v>
      </c>
      <c r="F78" s="7" t="inlineStr">
        <is>
          <t>Hyllor + häng</t>
        </is>
      </c>
      <c r="G78" s="7" t="inlineStr">
        <is>
          <t>Shelf_5 at 868; Shelf_6 at 630; Shelf_7 at 393; Hanger rail at 1962 (hangs to Shelf_5)</t>
        </is>
      </c>
      <c r="H78" s="8" t="n"/>
      <c r="I78" s="8" t="n"/>
      <c r="J78" s="8" t="n"/>
      <c r="K78" s="9">
        <f>IF(H78="No","{""face"":"""&amp;C78&amp;""",""size"":"""&amp;D78&amp;""",""interior"":"&amp;E78&amp;"}","")</f>
        <v/>
      </c>
      <c r="L78" s="8" t="n"/>
      <c r="M78" s="8" t="n"/>
    </row>
    <row r="79">
      <c r="A79" s="7" t="inlineStr">
        <is>
          <t>Right side</t>
        </is>
      </c>
      <c r="B79" s="7" t="inlineStr">
        <is>
          <t>Right Side Panel - White (in Prepared Right Side Panel, RR-202609-WWQTVTEA)</t>
        </is>
      </c>
      <c r="C79" s="7" t="inlineStr">
        <is>
          <t>left</t>
        </is>
      </c>
      <c r="D79" s="7" t="inlineStr">
        <is>
          <t>L</t>
        </is>
      </c>
      <c r="E79" s="7" t="n">
        <v>5</v>
      </c>
      <c r="F79" s="7" t="inlineStr">
        <is>
          <t>Dubbelhäng</t>
        </is>
      </c>
      <c r="G79" s="7" t="inlineStr">
        <is>
          <t>Shelf_5 at 868; Hanger rail at 1962 (hangs to Shelf_5); Hanger_bottom rail at 773 (hangs to Bottom)</t>
        </is>
      </c>
      <c r="H79" s="8" t="n"/>
      <c r="I79" s="8" t="n"/>
      <c r="J79" s="8" t="n"/>
      <c r="K79" s="9">
        <f>IF(H79="No","{""face"":"""&amp;C79&amp;""",""size"":"""&amp;D79&amp;""",""interior"":"&amp;E79&amp;"}","")</f>
        <v/>
      </c>
      <c r="L79" s="8" t="n"/>
      <c r="M79" s="8" t="n"/>
    </row>
    <row r="80">
      <c r="A80" s="7" t="inlineStr">
        <is>
          <t>Right side</t>
        </is>
      </c>
      <c r="B80" s="7" t="inlineStr">
        <is>
          <t>Right Side Panel - White (in Prepared Right Side Panel, RR-202609-WWQTVTEA)</t>
        </is>
      </c>
      <c r="C80" s="7" t="inlineStr">
        <is>
          <t>left</t>
        </is>
      </c>
      <c r="D80" s="7" t="inlineStr">
        <is>
          <t>L</t>
        </is>
      </c>
      <c r="E80" s="7" t="n">
        <v>6</v>
      </c>
      <c r="F80" s="7" t="inlineStr">
        <is>
          <t>Lådor + hyllor</t>
        </is>
      </c>
      <c r="G80" s="7" t="inlineStr">
        <is>
          <t>Shelf_1 at 1817; Shelf_2 at 1580; Shelf_3 at 1343; Shelf_4 at 1105; Shelf_5 at 868; 2 drawers: 634–857, 409–632</t>
        </is>
      </c>
      <c r="H80" s="8" t="n"/>
      <c r="I80" s="8" t="n"/>
      <c r="J80" s="8" t="n"/>
      <c r="K80" s="9">
        <f>IF(H80="No","{""face"":"""&amp;C80&amp;""",""size"":"""&amp;D80&amp;""",""interior"":"&amp;E80&amp;"}","")</f>
        <v/>
      </c>
      <c r="L80" s="8" t="n"/>
      <c r="M80" s="8" t="n"/>
    </row>
    <row r="81">
      <c r="A81" s="7" t="inlineStr">
        <is>
          <t>Right side</t>
        </is>
      </c>
      <c r="B81" s="7" t="inlineStr">
        <is>
          <t>Right Side Panel - White (in Prepared Right Side Panel, RR-202609-WWQTVTEA)</t>
        </is>
      </c>
      <c r="C81" s="7" t="inlineStr">
        <is>
          <t>left</t>
        </is>
      </c>
      <c r="D81" s="7" t="inlineStr">
        <is>
          <t>L</t>
        </is>
      </c>
      <c r="E81" s="7" t="n">
        <v>7</v>
      </c>
      <c r="F81" s="7" t="inlineStr">
        <is>
          <t>Dubbelhäng 50/50</t>
        </is>
      </c>
      <c r="G81" s="7" t="inlineStr">
        <is>
          <t>Shelf_4 at 1105; Hanger rail at 1962 (hangs to Shelf_4); Hanger_mid rail at 1010 (hangs to Bottom)</t>
        </is>
      </c>
      <c r="H81" s="8" t="n"/>
      <c r="I81" s="8" t="n"/>
      <c r="J81" s="8" t="n"/>
      <c r="K81" s="9">
        <f>IF(H81="No","{""face"":"""&amp;C81&amp;""",""size"":"""&amp;D81&amp;""",""interior"":"&amp;E81&amp;"}","")</f>
        <v/>
      </c>
      <c r="L81" s="8" t="n"/>
      <c r="M81" s="8" t="n"/>
    </row>
  </sheetData>
  <autoFilter ref="A1:M81"/>
  <dataValidations count="2">
    <dataValidation sqref="H2:H81" showDropDown="0" showInputMessage="0" showErrorMessage="0" allowBlank="1" type="list">
      <formula1>"Yes,No,Unsure"</formula1>
    </dataValidation>
    <dataValidation sqref="I2:I81" showDropDown="0" showInputMessage="0" showErrorMessage="0" allowBlank="1" type="list">
      <formula1>"drill,route,cut,insert,attach,surface_treat,inspect,other"</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6" customWidth="1" min="1" max="1"/>
    <col width="18" customWidth="1" min="2" max="2"/>
    <col width="8" customWidth="1" min="3" max="3"/>
    <col width="40" customWidth="1" min="4" max="4"/>
    <col width="32" customWidth="1" min="5" max="5"/>
    <col width="8" customWidth="1" min="6" max="6"/>
    <col width="60" customWidth="1" min="7" max="7"/>
  </cols>
  <sheetData>
    <row r="1">
      <c r="A1" s="10" t="inlineStr">
        <is>
          <t>Code</t>
        </is>
      </c>
      <c r="B1" s="10" t="inlineStr">
        <is>
          <t>Interior</t>
        </is>
      </c>
      <c r="C1" s="10" t="inlineStr">
        <is>
          <t>Sizes</t>
        </is>
      </c>
      <c r="D1" s="10" t="inlineStr">
        <is>
          <t>Shelves (height mm)</t>
        </is>
      </c>
      <c r="E1" s="10" t="inlineStr">
        <is>
          <t>Rails (height mm)</t>
        </is>
      </c>
      <c r="F1" s="10" t="inlineStr">
        <is>
          <t>Drawers</t>
        </is>
      </c>
      <c r="G1" s="10" t="inlineStr">
        <is>
          <t>Description</t>
        </is>
      </c>
    </row>
    <row r="2">
      <c r="A2" s="11" t="n">
        <v>0</v>
      </c>
      <c r="B2" s="11" t="inlineStr">
        <is>
          <t>Fullhäng</t>
        </is>
      </c>
      <c r="C2" s="11" t="inlineStr">
        <is>
          <t>S, M, L</t>
        </is>
      </c>
      <c r="D2" s="11" t="inlineStr">
        <is>
          <t>Shelf_7 393</t>
        </is>
      </c>
      <c r="E2" s="11" t="inlineStr">
        <is>
          <t>Hanger 1962</t>
        </is>
      </c>
      <c r="F2" s="11" t="n">
        <v>0</v>
      </c>
      <c r="G2" s="11" t="inlineStr">
        <is>
          <t>Klädstång i hela höjden – för kappor, klänningar och andra långa plagg.</t>
        </is>
      </c>
    </row>
    <row r="3">
      <c r="A3" s="11" t="n">
        <v>1</v>
      </c>
      <c r="B3" s="11" t="inlineStr">
        <is>
          <t>Lådor + häng</t>
        </is>
      </c>
      <c r="C3" s="11" t="inlineStr">
        <is>
          <t>M, L</t>
        </is>
      </c>
      <c r="D3" s="11" t="inlineStr">
        <is>
          <t>Shelf_5 868</t>
        </is>
      </c>
      <c r="E3" s="11" t="inlineStr">
        <is>
          <t>Hanger 1962</t>
        </is>
      </c>
      <c r="F3" s="11" t="n">
        <v>2</v>
      </c>
      <c r="G3" s="11" t="inlineStr">
        <is>
          <t>Klädstång för skjortor och jackor, två lådor under.</t>
        </is>
      </c>
    </row>
    <row r="4">
      <c r="A4" s="11" t="n">
        <v>2</v>
      </c>
      <c r="B4" s="11" t="inlineStr">
        <is>
          <t>Hyllor</t>
        </is>
      </c>
      <c r="C4" s="11" t="inlineStr">
        <is>
          <t>S, M, L</t>
        </is>
      </c>
      <c r="D4" s="11" t="inlineStr">
        <is>
          <t>Shelf_1 1817, Shelf_2 1580, Shelf_3 1343, Shelf_4 1105, Shelf_5 868, Shelf_6 630, Shelf_7 393</t>
        </is>
      </c>
      <c r="E4" s="11" t="inlineStr">
        <is>
          <t>—</t>
        </is>
      </c>
      <c r="F4" s="11" t="n">
        <v>0</v>
      </c>
      <c r="G4" s="11" t="inlineStr">
        <is>
          <t>Hyllplan i hela höjden – för vikta plagg, väskor och boxar.</t>
        </is>
      </c>
    </row>
    <row r="5">
      <c r="A5" s="11" t="n">
        <v>3</v>
      </c>
      <c r="B5" s="11" t="inlineStr">
        <is>
          <t>BeautyBox</t>
        </is>
      </c>
      <c r="C5" s="11" t="inlineStr">
        <is>
          <t>L</t>
        </is>
      </c>
      <c r="D5" s="11" t="inlineStr">
        <is>
          <t>—</t>
        </is>
      </c>
      <c r="E5" s="11" t="inlineStr">
        <is>
          <t>—</t>
        </is>
      </c>
      <c r="F5" s="11" t="n">
        <v>0</v>
      </c>
      <c r="G5" s="11" t="inlineStr">
        <is>
          <t>Sminkbord med spegel och små hyllor – en egen plats i mitten av raden.</t>
        </is>
      </c>
    </row>
    <row r="6">
      <c r="A6" s="11" t="n">
        <v>4</v>
      </c>
      <c r="B6" s="11" t="inlineStr">
        <is>
          <t>Hyllor + häng</t>
        </is>
      </c>
      <c r="C6" s="11" t="inlineStr">
        <is>
          <t>S, M, L</t>
        </is>
      </c>
      <c r="D6" s="11" t="inlineStr">
        <is>
          <t>Shelf_5 868, Shelf_6 630, Shelf_7 393</t>
        </is>
      </c>
      <c r="E6" s="11" t="inlineStr">
        <is>
          <t>Hanger 1962</t>
        </is>
      </c>
      <c r="F6" s="11" t="n">
        <v>0</v>
      </c>
      <c r="G6" s="11" t="inlineStr">
        <is>
          <t>Klädstång upptill och tre hyllplan nedtill.</t>
        </is>
      </c>
    </row>
    <row r="7">
      <c r="A7" s="11" t="n">
        <v>5</v>
      </c>
      <c r="B7" s="11" t="inlineStr">
        <is>
          <t>Dubbelhäng</t>
        </is>
      </c>
      <c r="C7" s="11" t="inlineStr">
        <is>
          <t>S, M, L</t>
        </is>
      </c>
      <c r="D7" s="11" t="inlineStr">
        <is>
          <t>Shelf_5 868</t>
        </is>
      </c>
      <c r="E7" s="11" t="inlineStr">
        <is>
          <t>Hanger 1962, Hanger_bottom 773</t>
        </is>
      </c>
      <c r="F7" s="11" t="n">
        <v>0</v>
      </c>
      <c r="G7" s="11" t="inlineStr">
        <is>
          <t>Två klädstänger ovanför varandra – dubbelt så många skjortor, byxor och jackor.</t>
        </is>
      </c>
    </row>
    <row r="8">
      <c r="A8" s="11" t="n">
        <v>6</v>
      </c>
      <c r="B8" s="11" t="inlineStr">
        <is>
          <t>Lådor + hyllor</t>
        </is>
      </c>
      <c r="C8" s="11" t="inlineStr">
        <is>
          <t>M, L</t>
        </is>
      </c>
      <c r="D8" s="11" t="inlineStr">
        <is>
          <t>Shelf_1 1817, Shelf_2 1580, Shelf_3 1343, Shelf_4 1105, Shelf_5 868</t>
        </is>
      </c>
      <c r="E8" s="11" t="inlineStr">
        <is>
          <t>—</t>
        </is>
      </c>
      <c r="F8" s="11" t="n">
        <v>2</v>
      </c>
      <c r="G8" s="11" t="inlineStr">
        <is>
          <t>Hyllplan upptill och två lådor nedtill, ingen klädstång.</t>
        </is>
      </c>
    </row>
    <row r="9">
      <c r="A9" s="11" t="n">
        <v>7</v>
      </c>
      <c r="B9" s="11" t="inlineStr">
        <is>
          <t>Dubbelhäng 50/50</t>
        </is>
      </c>
      <c r="C9" s="11" t="inlineStr">
        <is>
          <t>S, M, L</t>
        </is>
      </c>
      <c r="D9" s="11" t="inlineStr">
        <is>
          <t>Shelf_4 1105</t>
        </is>
      </c>
      <c r="E9" s="11" t="inlineStr">
        <is>
          <t>Hanger 1962, Hanger_mid 1010</t>
        </is>
      </c>
      <c r="F9" s="11" t="n">
        <v>0</v>
      </c>
      <c r="G9" s="11" t="inlineStr">
        <is>
          <t>Två klädstänger som delar facket mitt på – lika mycket häng upptill som nedtill.</t>
        </is>
      </c>
    </row>
    <row r="11">
      <c r="A11" s="12" t="inlineStr">
        <is>
          <t>Fixed shelf 1 sits at 2055 in every interior; bottom board at 131. Source: valcyra-site spec/interior-variants.json (geometry_mm, measured from the GLB models 2026-10-08). Size rules: docs/wardrobe-blender-spec.md §5 (BeautyBox: L only, with a neighbour on both sides).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14" customWidth="1" min="1" max="1"/>
    <col width="8" customWidth="1" min="2" max="2"/>
    <col width="10" customWidth="1" min="3" max="3"/>
    <col width="16" customWidth="1" min="4" max="4"/>
    <col width="10" customWidth="1" min="5" max="5"/>
    <col width="24" customWidth="1" min="6" max="6"/>
  </cols>
  <sheetData>
    <row r="1">
      <c r="A1" s="10" t="inlineStr">
        <is>
          <t>Panel</t>
        </is>
      </c>
      <c r="B1" s="10" t="inlineStr">
        <is>
          <t>Rows</t>
        </is>
      </c>
      <c r="C1" s="10" t="inlineStr">
        <is>
          <t>Answered</t>
        </is>
      </c>
      <c r="D1" s="10" t="inlineStr">
        <is>
          <t>Supplier default</t>
        </is>
      </c>
      <c r="E1" s="10" t="inlineStr">
        <is>
          <t>Hub work</t>
        </is>
      </c>
      <c r="F1" s="10" t="inlineStr">
        <is>
          <t>Hub rows without drawing</t>
        </is>
      </c>
    </row>
    <row r="2">
      <c r="A2" s="13" t="inlineStr">
        <is>
          <t>Left side</t>
        </is>
      </c>
      <c r="B2" s="13">
        <f>COUNTIFS('Side panel matrix'!$A$2:$A$81,A2)</f>
        <v/>
      </c>
      <c r="C2" s="13">
        <f>COUNTIFS('Side panel matrix'!$A$2:$A$81,A2,'Side panel matrix'!$H$2:$H$81,"Yes")+COUNTIFS('Side panel matrix'!$A$2:$A$81,A2,'Side panel matrix'!$H$2:$H$81,"No")</f>
        <v/>
      </c>
      <c r="D2" s="13">
        <f>COUNTIFS('Side panel matrix'!$A$2:$A$81,A2,'Side panel matrix'!$H$2:$H$81,"Yes")</f>
        <v/>
      </c>
      <c r="E2" s="13">
        <f>COUNTIFS('Side panel matrix'!$A$2:$A$81,A2,'Side panel matrix'!$H$2:$H$81,"No")</f>
        <v/>
      </c>
      <c r="F2" s="13">
        <f>COUNTIFS('Side panel matrix'!$A$2:$A$81,A2,'Side panel matrix'!$H$2:$H$81,"No",'Side panel matrix'!$L$2:$L$81,"")</f>
        <v/>
      </c>
    </row>
    <row r="3">
      <c r="A3" s="13" t="inlineStr">
        <is>
          <t>Mid panel</t>
        </is>
      </c>
      <c r="B3" s="13">
        <f>COUNTIFS('Side panel matrix'!$A$2:$A$81,A3)</f>
        <v/>
      </c>
      <c r="C3" s="13">
        <f>COUNTIFS('Side panel matrix'!$A$2:$A$81,A3,'Side panel matrix'!$H$2:$H$81,"Yes")+COUNTIFS('Side panel matrix'!$A$2:$A$81,A3,'Side panel matrix'!$H$2:$H$81,"No")</f>
        <v/>
      </c>
      <c r="D3" s="13">
        <f>COUNTIFS('Side panel matrix'!$A$2:$A$81,A3,'Side panel matrix'!$H$2:$H$81,"Yes")</f>
        <v/>
      </c>
      <c r="E3" s="13">
        <f>COUNTIFS('Side panel matrix'!$A$2:$A$81,A3,'Side panel matrix'!$H$2:$H$81,"No")</f>
        <v/>
      </c>
      <c r="F3" s="13">
        <f>COUNTIFS('Side panel matrix'!$A$2:$A$81,A3,'Side panel matrix'!$H$2:$H$81,"No",'Side panel matrix'!$L$2:$L$81,"")</f>
        <v/>
      </c>
    </row>
    <row r="4">
      <c r="A4" s="13" t="inlineStr">
        <is>
          <t>Right side</t>
        </is>
      </c>
      <c r="B4" s="13">
        <f>COUNTIFS('Side panel matrix'!$A$2:$A$81,A4)</f>
        <v/>
      </c>
      <c r="C4" s="13">
        <f>COUNTIFS('Side panel matrix'!$A$2:$A$81,A4,'Side panel matrix'!$H$2:$H$81,"Yes")+COUNTIFS('Side panel matrix'!$A$2:$A$81,A4,'Side panel matrix'!$H$2:$H$81,"No")</f>
        <v/>
      </c>
      <c r="D4" s="13">
        <f>COUNTIFS('Side panel matrix'!$A$2:$A$81,A4,'Side panel matrix'!$H$2:$H$81,"Yes")</f>
        <v/>
      </c>
      <c r="E4" s="13">
        <f>COUNTIFS('Side panel matrix'!$A$2:$A$81,A4,'Side panel matrix'!$H$2:$H$81,"No")</f>
        <v/>
      </c>
      <c r="F4" s="13">
        <f>COUNTIFS('Side panel matrix'!$A$2:$A$81,A4,'Side panel matrix'!$H$2:$H$81,"No",'Side panel matrix'!$L$2:$L$81,"")</f>
        <v/>
      </c>
    </row>
    <row r="5">
      <c r="A5" s="4" t="inlineStr">
        <is>
          <t>Total</t>
        </is>
      </c>
      <c r="B5" s="4">
        <f>SUM(B2:B4)</f>
        <v/>
      </c>
      <c r="C5" s="4">
        <f>SUM(C2:C4)</f>
        <v/>
      </c>
      <c r="D5" s="4">
        <f>SUM(D2:D4)</f>
        <v/>
      </c>
      <c r="E5" s="4">
        <f>SUM(E2:E4)</f>
        <v/>
      </c>
      <c r="F5" s="4">
        <f>SUM(F2:F4)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2026-10-28T07:12:43Z</dcterms:created>
  <dcterms:modified xsi:type="dcterms:W3CDTF">2026-10-28T07:12:43Z</dcterms:modified>
</cp:coreProperties>
</file>