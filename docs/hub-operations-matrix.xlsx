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ide panel matrix" sheetId="2" state="visible" r:id="rId2"/>
    <sheet name="Interior variants" sheetId="3" state="visible" r:id="rId3"/>
    <sheet name="Summary" sheetId="4" state="visible" r:id="rId4"/>
  </sheets>
  <definedNames>
    <definedName name="_xlnm._FilterDatabase" localSheetId="1" hidden="1">'Side panel matrix'!$A$1:$N$25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7">
    <fill>
      <patternFill/>
    </fill>
    <fill>
      <patternFill patternType="gray125"/>
    </fill>
    <fill>
      <patternFill patternType="solid">
        <fgColor rgb="00E2EFDA"/>
      </patternFill>
    </fill>
    <fill>
      <patternFill patternType="solid">
        <fgColor rgb="002F4858"/>
      </patternFill>
    </fill>
    <fill>
      <patternFill patternType="solid">
        <fgColor rgb="00F2F2F2"/>
      </patternFill>
    </fill>
    <fill>
      <patternFill patternType="solid">
        <fgColor rgb="00FFF2CC"/>
      </patternFill>
    </fill>
    <fill>
      <patternFill patternType="solid">
        <fgColor rgb="00FFFFFF"/>
      </patternFill>
    </fill>
  </fills>
  <borders count="2">
    <border>
      <left/>
      <right/>
      <top/>
      <bottom/>
      <diagonal/>
    </border>
    <border>
      <left style="thin">
        <color rgb="00D0D5DA"/>
      </left>
      <right style="thin">
        <color rgb="00D0D5DA"/>
      </right>
      <top style="thin">
        <color rgb="00D0D5DA"/>
      </top>
      <bottom style="thin">
        <color rgb="00D0D5DA"/>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1" pivotButton="0" quotePrefix="0" xfId="0"/>
    <xf numFmtId="0" fontId="2" fillId="2" borderId="1" applyAlignment="1" pivotButton="0" quotePrefix="0" xfId="0">
      <alignment vertical="top" wrapText="1"/>
    </xf>
    <xf numFmtId="0" fontId="4" fillId="3" borderId="1" applyAlignment="1" pivotButton="0" quotePrefix="0" xfId="0">
      <alignment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3" borderId="1" pivotButton="0" quotePrefix="0" xfId="0"/>
    <xf numFmtId="0" fontId="2" fillId="0" borderId="1" applyAlignment="1" pivotButton="0" quotePrefix="0" xfId="0">
      <alignment vertical="top" wrapText="1"/>
    </xf>
    <xf numFmtId="0" fontId="2" fillId="0" borderId="0"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Order Operations</author>
  </authors>
  <commentList>
    <comment ref="H1" authorId="0" shapeId="0">
      <text>
        <t>Yes: the supplier's predrilled panel already has every hole this item needs. No: the hub adds holes or milling.</t>
      </text>
    </comment>
    <comment ref="J1" authorId="0" shapeId="0">
      <text>
        <t>Any unless the holes differ by module size. Drawers come in M and L, the BeautyBox in L only.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Hub operations matrix — side panels</t>
        </is>
      </c>
    </row>
    <row r="2">
      <c r="A2" s="2" t="inlineStr">
        <is>
          <t>Which extra holes or milling each side panel needs at the hub, per item in the module next to it. Order Operations item 0039; the E&amp;C Gateway defines, Order Operations executes (decision 0012).</t>
        </is>
      </c>
    </row>
    <row r="3">
      <c r="A3" s="2" t="inlineStr"/>
    </row>
    <row r="4">
      <c r="A4" s="3" t="inlineStr">
        <is>
          <t>How it works</t>
        </is>
      </c>
    </row>
    <row r="5">
      <c r="A5" s="2" t="inlineStr">
        <is>
          <t>1. Each row is one face of a side panel next to a module that holds one kind of item: drawers, shelves, a clothes rail, the LED strip, a BeautyBox or a back panel. A mid panel has two faces, so each item appears twice for it.</t>
        </is>
      </c>
    </row>
    <row r="6">
      <c r="A6" s="2" t="inlineStr">
        <is>
          <t>2. Most rows are covered by the supplier's default drilling. Mark those 'Yes' and leave the rest of the row empty.</t>
        </is>
      </c>
    </row>
    <row r="7">
      <c r="A7" s="2" t="inlineStr">
        <is>
          <t>3. Where the hub must add holes or milling, mark 'No' and fill in Operation, Instruction and Drawing. Leave Size at 'Any' unless the holes differ by module size; then copy the row once per size.</t>
        </is>
      </c>
    </row>
    <row r="8">
      <c r="A8" s="2" t="inlineStr">
        <is>
          <t>4. Each 'No' row becomes one operation on that side panel part in the E&amp;C Gateway (Manufacturing tab), with the condition in column M: Face, Size and 'Module has'. After Resolve BOM, Order Operations looks at the module on each side of every side panel in the order and puts the matching operations on the order's work order, with the panel's position and face.</t>
        </is>
      </c>
    </row>
    <row r="9">
      <c r="A9" s="2" t="inlineStr">
        <is>
          <t>5. One row covers every interior that holds the item: drawers are in Lådor + häng and Lådor + hyllor alike. When the holes depend on the interior itself (for example which shelf heights), use the Gateway's Interior choice instead and say so in Notes.</t>
        </is>
      </c>
    </row>
    <row r="10">
      <c r="A10" s="2" t="inlineStr"/>
    </row>
    <row r="11">
      <c r="A11" s="3" t="inlineStr">
        <is>
          <t>Legend</t>
        </is>
      </c>
    </row>
    <row r="12">
      <c r="A12" s="2" t="inlineStr">
        <is>
          <t>Yellow cells: fill in. Grey cells: from the planner (spec/interior-variants.json, lib/experience/utils/partKeys.js), do not edit. Column M is a formula.</t>
        </is>
      </c>
    </row>
    <row r="13">
      <c r="A13" s="2" t="inlineStr">
        <is>
          <t>Heights are millimetres in the planner's 3D model (feet at 13.5, side bottom edge at about 20). Subtract about 20 mm to measure from the side panel's bottom edge.</t>
        </is>
      </c>
    </row>
    <row r="14">
      <c r="A14" s="2" t="inlineStr">
        <is>
          <t>Faces are as seen from the front: the left face of a panel meets the module to its left.</t>
        </is>
      </c>
    </row>
    <row r="15">
      <c r="A15" s="2" t="inlineStr">
        <is>
          <t>Article numbers are the White variants; the same operations apply to every colour unless Notes says otherwise.</t>
        </is>
      </c>
    </row>
    <row r="16">
      <c r="A16" s="2" t="inlineStr"/>
    </row>
    <row r="17">
      <c r="A17" s="3" t="inlineStr">
        <is>
          <t>Example (not real data)</t>
        </is>
      </c>
    </row>
    <row r="18">
      <c r="A18" s="4" t="inlineStr">
        <is>
          <t>Panel</t>
        </is>
      </c>
      <c r="B18" s="4" t="inlineStr">
        <is>
          <t>Face</t>
        </is>
      </c>
      <c r="C18" s="4" t="inlineStr">
        <is>
          <t>Module has</t>
        </is>
      </c>
      <c r="D18" s="4" t="inlineStr">
        <is>
          <t>Supplier default enough?</t>
        </is>
      </c>
      <c r="E18" s="4" t="inlineStr">
        <is>
          <t>Operation</t>
        </is>
      </c>
      <c r="F18" s="4" t="inlineStr">
        <is>
          <t>Size</t>
        </is>
      </c>
      <c r="G18" s="4" t="inlineStr">
        <is>
          <t>Instruction</t>
        </is>
      </c>
      <c r="H18" s="4" t="inlineStr">
        <is>
          <t>Drawing</t>
        </is>
      </c>
      <c r="I18" s="4" t="inlineStr">
        <is>
          <t>Condition</t>
        </is>
      </c>
    </row>
    <row r="19">
      <c r="A19" s="5" t="inlineStr">
        <is>
          <t>Mid panel</t>
        </is>
      </c>
      <c r="B19" s="5" t="inlineStr">
        <is>
          <t>left</t>
        </is>
      </c>
      <c r="C19" s="5" t="inlineStr">
        <is>
          <t>Drawers</t>
        </is>
      </c>
      <c r="D19" s="5" t="inlineStr">
        <is>
          <t>No</t>
        </is>
      </c>
      <c r="E19" s="5" t="inlineStr">
        <is>
          <t>drill</t>
        </is>
      </c>
      <c r="F19" s="5" t="inlineStr">
        <is>
          <t>Any</t>
        </is>
      </c>
      <c r="G19" s="5" t="inlineStr">
        <is>
          <t>Drill 4 runner holes Ø5×12 for the drawer pair</t>
        </is>
      </c>
      <c r="H19" s="5" t="inlineStr">
        <is>
          <t>DRW-0123 rev A</t>
        </is>
      </c>
      <c r="I19" s="5" t="inlineStr">
        <is>
          <t>{"face":"left","contains":"drawer_set"}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7" customWidth="1" min="3" max="3"/>
    <col width="13" customWidth="1" min="4" max="4"/>
    <col width="22" customWidth="1" min="5" max="5"/>
    <col width="40" customWidth="1" min="6" max="6"/>
    <col width="50" customWidth="1" min="7" max="7"/>
    <col width="13" customWidth="1" min="8" max="8"/>
    <col width="12" customWidth="1" min="9" max="9"/>
    <col width="8" customWidth="1" min="10" max="10"/>
    <col width="44" customWidth="1" min="11" max="11"/>
    <col width="16" customWidth="1" min="12" max="12"/>
    <col width="46" customWidth="1" min="13" max="13"/>
    <col width="30" customWidth="1" min="14" max="14"/>
  </cols>
  <sheetData>
    <row r="1">
      <c r="A1" s="6" t="inlineStr">
        <is>
          <t>Panel</t>
        </is>
      </c>
      <c r="B1" s="6" t="inlineStr">
        <is>
          <t>Gateway article</t>
        </is>
      </c>
      <c r="C1" s="6" t="inlineStr">
        <is>
          <t>Face</t>
        </is>
      </c>
      <c r="D1" s="6" t="inlineStr">
        <is>
          <t>Module has</t>
        </is>
      </c>
      <c r="E1" s="6" t="inlineStr">
        <is>
          <t>Item kind</t>
        </is>
      </c>
      <c r="F1" s="6" t="inlineStr">
        <is>
          <t>In interiors</t>
        </is>
      </c>
      <c r="G1" s="6" t="inlineStr">
        <is>
          <t>Where in the module (mm)</t>
        </is>
      </c>
      <c r="H1" s="6" t="inlineStr">
        <is>
          <t>Supplier default enough?</t>
        </is>
      </c>
      <c r="I1" s="6" t="inlineStr">
        <is>
          <t>Operation</t>
        </is>
      </c>
      <c r="J1" s="6" t="inlineStr">
        <is>
          <t>Size</t>
        </is>
      </c>
      <c r="K1" s="6" t="inlineStr">
        <is>
          <t>Instruction</t>
        </is>
      </c>
      <c r="L1" s="6" t="inlineStr">
        <is>
          <t>Drawing</t>
        </is>
      </c>
      <c r="M1" s="6" t="inlineStr">
        <is>
          <t>Condition (for the Gateway)</t>
        </is>
      </c>
      <c r="N1" s="6" t="inlineStr">
        <is>
          <t>Notes</t>
        </is>
      </c>
    </row>
    <row r="2">
      <c r="A2" s="7" t="inlineStr">
        <is>
          <t>Left side</t>
        </is>
      </c>
      <c r="B2" s="7" t="inlineStr">
        <is>
          <t>Left Side Panel - White (in Prepared Left Side Panel, RR-202609-DEFPG54X)</t>
        </is>
      </c>
      <c r="C2" s="7" t="inlineStr">
        <is>
          <t>right</t>
        </is>
      </c>
      <c r="D2" s="7" t="inlineStr">
        <is>
          <t>Drawers</t>
        </is>
      </c>
      <c r="E2" s="7" t="inlineStr">
        <is>
          <t>drawer_set</t>
        </is>
      </c>
      <c r="F2" s="7" t="inlineStr">
        <is>
          <t>1 Lådor + häng, 6 Lådor + hyllor</t>
        </is>
      </c>
      <c r="G2" s="7" t="inlineStr">
        <is>
          <t>Drawers 634–857, 409–632</t>
        </is>
      </c>
      <c r="H2" s="8" t="n"/>
      <c r="I2" s="8" t="n"/>
      <c r="J2" s="8" t="inlineStr">
        <is>
          <t>Any</t>
        </is>
      </c>
      <c r="K2" s="8" t="n"/>
      <c r="L2" s="8" t="n"/>
      <c r="M2" s="9">
        <f>IF(H2="No","{""face"":"""&amp;C2&amp;""","&amp;IF(OR(J2="",J2="Any"),"","""size"":"""&amp;J2&amp;""",")&amp;"""contains"":"""&amp;E2&amp;"""}","")</f>
        <v/>
      </c>
      <c r="N2" s="8" t="n"/>
    </row>
    <row r="3">
      <c r="A3" s="7" t="inlineStr">
        <is>
          <t>Left side</t>
        </is>
      </c>
      <c r="B3" s="7" t="inlineStr">
        <is>
          <t>Left Side Panel - White (in Prepared Left Side Panel, RR-202609-DEFPG54X)</t>
        </is>
      </c>
      <c r="C3" s="7" t="inlineStr">
        <is>
          <t>right</t>
        </is>
      </c>
      <c r="D3" s="7" t="inlineStr">
        <is>
          <t>Shelves</t>
        </is>
      </c>
      <c r="E3" s="7" t="inlineStr">
        <is>
          <t>shelf</t>
        </is>
      </c>
      <c r="F3" s="7" t="inlineStr">
        <is>
          <t>0 Fullhäng, 1 Lådor + häng, 2 Hyllor, 4 Hyllor + häng, 5 Dubbelhäng, 6 Lådor + hyllor, 7 Dubbelhäng 50/50</t>
        </is>
      </c>
      <c r="G3" s="7" t="inlineStr">
        <is>
          <t>Shelves at 1817, 1580, 1343, 1105, 868, 630, 393 (which ones depend on the interior)</t>
        </is>
      </c>
      <c r="H3" s="8" t="n"/>
      <c r="I3" s="8" t="n"/>
      <c r="J3" s="8" t="inlineStr">
        <is>
          <t>Any</t>
        </is>
      </c>
      <c r="K3" s="8" t="n"/>
      <c r="L3" s="8" t="n"/>
      <c r="M3" s="9">
        <f>IF(H3="No","{""face"":"""&amp;C3&amp;""","&amp;IF(OR(J3="",J3="Any"),"","""size"":"""&amp;J3&amp;""",")&amp;"""contains"":"""&amp;E3&amp;"""}","")</f>
        <v/>
      </c>
      <c r="N3" s="8" t="n"/>
    </row>
    <row r="4">
      <c r="A4" s="7" t="inlineStr">
        <is>
          <t>Left side</t>
        </is>
      </c>
      <c r="B4" s="7" t="inlineStr">
        <is>
          <t>Left Side Panel - White (in Prepared Left Side Panel, RR-202609-DEFPG54X)</t>
        </is>
      </c>
      <c r="C4" s="7" t="inlineStr">
        <is>
          <t>right</t>
        </is>
      </c>
      <c r="D4" s="7" t="inlineStr">
        <is>
          <t>Clothes rail</t>
        </is>
      </c>
      <c r="E4" s="7" t="inlineStr">
        <is>
          <t>hanger</t>
        </is>
      </c>
      <c r="F4" s="7" t="inlineStr">
        <is>
          <t>0 Fullhäng, 1 Lådor + häng, 4 Hyllor + häng, 5 Dubbelhäng, 7 Dubbelhäng 50/50</t>
        </is>
      </c>
      <c r="G4" s="7" t="inlineStr">
        <is>
          <t>Rails at Hanger 1962, Hanger_bottom 773, Hanger_mid 1010</t>
        </is>
      </c>
      <c r="H4" s="8" t="n"/>
      <c r="I4" s="8" t="n"/>
      <c r="J4" s="8" t="inlineStr">
        <is>
          <t>Any</t>
        </is>
      </c>
      <c r="K4" s="8" t="n"/>
      <c r="L4" s="8" t="n"/>
      <c r="M4" s="9">
        <f>IF(H4="No","{""face"":"""&amp;C4&amp;""","&amp;IF(OR(J4="",J4="Any"),"","""size"":"""&amp;J4&amp;""",")&amp;"""contains"":"""&amp;E4&amp;"""}","")</f>
        <v/>
      </c>
      <c r="N4" s="8" t="n"/>
    </row>
    <row r="5">
      <c r="A5" s="7" t="inlineStr">
        <is>
          <t>Left side</t>
        </is>
      </c>
      <c r="B5" s="7" t="inlineStr">
        <is>
          <t>Left Side Panel - White (in Prepared Left Side Panel, RR-202609-DEFPG54X)</t>
        </is>
      </c>
      <c r="C5" s="7" t="inlineStr">
        <is>
          <t>right</t>
        </is>
      </c>
      <c r="D5" s="7" t="inlineStr">
        <is>
          <t>LED strip</t>
        </is>
      </c>
      <c r="E5" s="7" t="inlineStr">
        <is>
          <t>led_ramp</t>
        </is>
      </c>
      <c r="F5" s="7" t="inlineStr">
        <is>
          <t>0 Fullhäng, 1 Lådor + häng, 2 Hyllor, 3 BeautyBox, 4 Hyllor + häng, 5 Dubbelhäng, 6 Lådor + hyllor, 7 Dubbelhäng 50/50</t>
        </is>
      </c>
      <c r="G5" s="7" t="inlineStr">
        <is>
          <t>Under the top fixed shelf (2055)</t>
        </is>
      </c>
      <c r="H5" s="8" t="n"/>
      <c r="I5" s="8" t="n"/>
      <c r="J5" s="8" t="inlineStr">
        <is>
          <t>Any</t>
        </is>
      </c>
      <c r="K5" s="8" t="n"/>
      <c r="L5" s="8" t="n"/>
      <c r="M5" s="9">
        <f>IF(H5="No","{""face"":"""&amp;C5&amp;""","&amp;IF(OR(J5="",J5="Any"),"","""size"":"""&amp;J5&amp;""",")&amp;"""contains"":"""&amp;E5&amp;"""}","")</f>
        <v/>
      </c>
      <c r="N5" s="8" t="n"/>
    </row>
    <row r="6">
      <c r="A6" s="7" t="inlineStr">
        <is>
          <t>Left side</t>
        </is>
      </c>
      <c r="B6" s="7" t="inlineStr">
        <is>
          <t>Left Side Panel - White (in Prepared Left Side Panel, RR-202609-DEFPG54X)</t>
        </is>
      </c>
      <c r="C6" s="7" t="inlineStr">
        <is>
          <t>right</t>
        </is>
      </c>
      <c r="D6" s="7" t="inlineStr">
        <is>
          <t>BeautyBox</t>
        </is>
      </c>
      <c r="E6" s="7" t="inlineStr">
        <is>
          <t>beautybox</t>
        </is>
      </c>
      <c r="F6" s="7" t="inlineStr">
        <is>
          <t>3 BeautyBox</t>
        </is>
      </c>
      <c r="G6" s="7" t="inlineStr">
        <is>
          <t>—</t>
        </is>
      </c>
      <c r="H6" s="8" t="n"/>
      <c r="I6" s="8" t="n"/>
      <c r="J6" s="8" t="inlineStr">
        <is>
          <t>Any</t>
        </is>
      </c>
      <c r="K6" s="8" t="n"/>
      <c r="L6" s="8" t="n"/>
      <c r="M6" s="9">
        <f>IF(H6="No","{""face"":"""&amp;C6&amp;""","&amp;IF(OR(J6="",J6="Any"),"","""size"":"""&amp;J6&amp;""",")&amp;"""contains"":"""&amp;E6&amp;"""}","")</f>
        <v/>
      </c>
      <c r="N6" s="8" t="n"/>
    </row>
    <row r="7">
      <c r="A7" s="7" t="inlineStr">
        <is>
          <t>Left side</t>
        </is>
      </c>
      <c r="B7" s="7" t="inlineStr">
        <is>
          <t>Left Side Panel - White (in Prepared Left Side Panel, RR-202609-DEFPG54X)</t>
        </is>
      </c>
      <c r="C7" s="7" t="inlineStr">
        <is>
          <t>right</t>
        </is>
      </c>
      <c r="D7" s="7" t="inlineStr">
        <is>
          <t>Back panel</t>
        </is>
      </c>
      <c r="E7" s="7" t="inlineStr">
        <is>
          <t>removable_panel_back_full</t>
        </is>
      </c>
      <c r="F7" s="7" t="inlineStr">
        <is>
          <t>0 Fullhäng, 1 Lådor + häng, 2 Hyllor, 3 BeautyBox, 4 Hyllor + häng, 5 Dubbelhäng, 6 Lådor + hyllor, 7 Dubbelhäng 50/50</t>
        </is>
      </c>
      <c r="G7" s="7" t="inlineStr">
        <is>
          <t>—</t>
        </is>
      </c>
      <c r="H7" s="8" t="n"/>
      <c r="I7" s="8" t="n"/>
      <c r="J7" s="8" t="inlineStr">
        <is>
          <t>Any</t>
        </is>
      </c>
      <c r="K7" s="8" t="n"/>
      <c r="L7" s="8" t="n"/>
      <c r="M7" s="9">
        <f>IF(H7="No","{""face"":"""&amp;C7&amp;""","&amp;IF(OR(J7="",J7="Any"),"","""size"":"""&amp;J7&amp;""",")&amp;"""contains"":"""&amp;E7&amp;"""}","")</f>
        <v/>
      </c>
      <c r="N7" s="8" t="n"/>
    </row>
    <row r="8">
      <c r="A8" s="7" t="inlineStr">
        <is>
          <t>Mid panel</t>
        </is>
      </c>
      <c r="B8" s="7" t="inlineStr">
        <is>
          <t>Mid panel part not created yet (Prepared Mid Panel, RR-202609-7C4GCN8M)</t>
        </is>
      </c>
      <c r="C8" s="7" t="inlineStr">
        <is>
          <t>left</t>
        </is>
      </c>
      <c r="D8" s="7" t="inlineStr">
        <is>
          <t>Drawers</t>
        </is>
      </c>
      <c r="E8" s="7" t="inlineStr">
        <is>
          <t>drawer_set</t>
        </is>
      </c>
      <c r="F8" s="7" t="inlineStr">
        <is>
          <t>1 Lådor + häng, 6 Lådor + hyllor</t>
        </is>
      </c>
      <c r="G8" s="7" t="inlineStr">
        <is>
          <t>Drawers 634–857, 409–632</t>
        </is>
      </c>
      <c r="H8" s="8" t="n"/>
      <c r="I8" s="8" t="n"/>
      <c r="J8" s="8" t="inlineStr">
        <is>
          <t>Any</t>
        </is>
      </c>
      <c r="K8" s="8" t="n"/>
      <c r="L8" s="8" t="n"/>
      <c r="M8" s="9">
        <f>IF(H8="No","{""face"":"""&amp;C8&amp;""","&amp;IF(OR(J8="",J8="Any"),"","""size"":"""&amp;J8&amp;""",")&amp;"""contains"":"""&amp;E8&amp;"""}","")</f>
        <v/>
      </c>
      <c r="N8" s="8" t="n"/>
    </row>
    <row r="9">
      <c r="A9" s="7" t="inlineStr">
        <is>
          <t>Mid panel</t>
        </is>
      </c>
      <c r="B9" s="7" t="inlineStr">
        <is>
          <t>Mid panel part not created yet (Prepared Mid Panel, RR-202609-7C4GCN8M)</t>
        </is>
      </c>
      <c r="C9" s="7" t="inlineStr">
        <is>
          <t>left</t>
        </is>
      </c>
      <c r="D9" s="7" t="inlineStr">
        <is>
          <t>Shelves</t>
        </is>
      </c>
      <c r="E9" s="7" t="inlineStr">
        <is>
          <t>shelf</t>
        </is>
      </c>
      <c r="F9" s="7" t="inlineStr">
        <is>
          <t>0 Fullhäng, 1 Lådor + häng, 2 Hyllor, 4 Hyllor + häng, 5 Dubbelhäng, 6 Lådor + hyllor, 7 Dubbelhäng 50/50</t>
        </is>
      </c>
      <c r="G9" s="7" t="inlineStr">
        <is>
          <t>Shelves at 1817, 1580, 1343, 1105, 868, 630, 393 (which ones depend on the interior)</t>
        </is>
      </c>
      <c r="H9" s="8" t="n"/>
      <c r="I9" s="8" t="n"/>
      <c r="J9" s="8" t="inlineStr">
        <is>
          <t>Any</t>
        </is>
      </c>
      <c r="K9" s="8" t="n"/>
      <c r="L9" s="8" t="n"/>
      <c r="M9" s="9">
        <f>IF(H9="No","{""face"":"""&amp;C9&amp;""","&amp;IF(OR(J9="",J9="Any"),"","""size"":"""&amp;J9&amp;""",")&amp;"""contains"":"""&amp;E9&amp;"""}","")</f>
        <v/>
      </c>
      <c r="N9" s="8" t="n"/>
    </row>
    <row r="10">
      <c r="A10" s="7" t="inlineStr">
        <is>
          <t>Mid panel</t>
        </is>
      </c>
      <c r="B10" s="7" t="inlineStr">
        <is>
          <t>Mid panel part not created yet (Prepared Mid Panel, RR-202609-7C4GCN8M)</t>
        </is>
      </c>
      <c r="C10" s="7" t="inlineStr">
        <is>
          <t>left</t>
        </is>
      </c>
      <c r="D10" s="7" t="inlineStr">
        <is>
          <t>Clothes rail</t>
        </is>
      </c>
      <c r="E10" s="7" t="inlineStr">
        <is>
          <t>hanger</t>
        </is>
      </c>
      <c r="F10" s="7" t="inlineStr">
        <is>
          <t>0 Fullhäng, 1 Lådor + häng, 4 Hyllor + häng, 5 Dubbelhäng, 7 Dubbelhäng 50/50</t>
        </is>
      </c>
      <c r="G10" s="7" t="inlineStr">
        <is>
          <t>Rails at Hanger 1962, Hanger_bottom 773, Hanger_mid 1010</t>
        </is>
      </c>
      <c r="H10" s="8" t="n"/>
      <c r="I10" s="8" t="n"/>
      <c r="J10" s="8" t="inlineStr">
        <is>
          <t>Any</t>
        </is>
      </c>
      <c r="K10" s="8" t="n"/>
      <c r="L10" s="8" t="n"/>
      <c r="M10" s="9">
        <f>IF(H10="No","{""face"":"""&amp;C10&amp;""","&amp;IF(OR(J10="",J10="Any"),"","""size"":"""&amp;J10&amp;""",")&amp;"""contains"":"""&amp;E10&amp;"""}","")</f>
        <v/>
      </c>
      <c r="N10" s="8" t="n"/>
    </row>
    <row r="11">
      <c r="A11" s="7" t="inlineStr">
        <is>
          <t>Mid panel</t>
        </is>
      </c>
      <c r="B11" s="7" t="inlineStr">
        <is>
          <t>Mid panel part not created yet (Prepared Mid Panel, RR-202609-7C4GCN8M)</t>
        </is>
      </c>
      <c r="C11" s="7" t="inlineStr">
        <is>
          <t>left</t>
        </is>
      </c>
      <c r="D11" s="7" t="inlineStr">
        <is>
          <t>LED strip</t>
        </is>
      </c>
      <c r="E11" s="7" t="inlineStr">
        <is>
          <t>led_ramp</t>
        </is>
      </c>
      <c r="F11" s="7" t="inlineStr">
        <is>
          <t>0 Fullhäng, 1 Lådor + häng, 2 Hyllor, 3 BeautyBox, 4 Hyllor + häng, 5 Dubbelhäng, 6 Lådor + hyllor, 7 Dubbelhäng 50/50</t>
        </is>
      </c>
      <c r="G11" s="7" t="inlineStr">
        <is>
          <t>Under the top fixed shelf (2055)</t>
        </is>
      </c>
      <c r="H11" s="8" t="n"/>
      <c r="I11" s="8" t="n"/>
      <c r="J11" s="8" t="inlineStr">
        <is>
          <t>Any</t>
        </is>
      </c>
      <c r="K11" s="8" t="n"/>
      <c r="L11" s="8" t="n"/>
      <c r="M11" s="9">
        <f>IF(H11="No","{""face"":"""&amp;C11&amp;""","&amp;IF(OR(J11="",J11="Any"),"","""size"":"""&amp;J11&amp;""",")&amp;"""contains"":"""&amp;E11&amp;"""}","")</f>
        <v/>
      </c>
      <c r="N11" s="8" t="n"/>
    </row>
    <row r="12">
      <c r="A12" s="7" t="inlineStr">
        <is>
          <t>Mid panel</t>
        </is>
      </c>
      <c r="B12" s="7" t="inlineStr">
        <is>
          <t>Mid panel part not created yet (Prepared Mid Panel, RR-202609-7C4GCN8M)</t>
        </is>
      </c>
      <c r="C12" s="7" t="inlineStr">
        <is>
          <t>left</t>
        </is>
      </c>
      <c r="D12" s="7" t="inlineStr">
        <is>
          <t>BeautyBox</t>
        </is>
      </c>
      <c r="E12" s="7" t="inlineStr">
        <is>
          <t>beautybox</t>
        </is>
      </c>
      <c r="F12" s="7" t="inlineStr">
        <is>
          <t>3 BeautyBox</t>
        </is>
      </c>
      <c r="G12" s="7" t="inlineStr">
        <is>
          <t>—</t>
        </is>
      </c>
      <c r="H12" s="8" t="n"/>
      <c r="I12" s="8" t="n"/>
      <c r="J12" s="8" t="inlineStr">
        <is>
          <t>Any</t>
        </is>
      </c>
      <c r="K12" s="8" t="n"/>
      <c r="L12" s="8" t="n"/>
      <c r="M12" s="9">
        <f>IF(H12="No","{""face"":"""&amp;C12&amp;""","&amp;IF(OR(J12="",J12="Any"),"","""size"":"""&amp;J12&amp;""",")&amp;"""contains"":"""&amp;E12&amp;"""}","")</f>
        <v/>
      </c>
      <c r="N12" s="8" t="n"/>
    </row>
    <row r="13">
      <c r="A13" s="7" t="inlineStr">
        <is>
          <t>Mid panel</t>
        </is>
      </c>
      <c r="B13" s="7" t="inlineStr">
        <is>
          <t>Mid panel part not created yet (Prepared Mid Panel, RR-202609-7C4GCN8M)</t>
        </is>
      </c>
      <c r="C13" s="7" t="inlineStr">
        <is>
          <t>left</t>
        </is>
      </c>
      <c r="D13" s="7" t="inlineStr">
        <is>
          <t>Back panel</t>
        </is>
      </c>
      <c r="E13" s="7" t="inlineStr">
        <is>
          <t>removable_panel_back_full</t>
        </is>
      </c>
      <c r="F13" s="7" t="inlineStr">
        <is>
          <t>0 Fullhäng, 1 Lådor + häng, 2 Hyllor, 3 BeautyBox, 4 Hyllor + häng, 5 Dubbelhäng, 6 Lådor + hyllor, 7 Dubbelhäng 50/50</t>
        </is>
      </c>
      <c r="G13" s="7" t="inlineStr">
        <is>
          <t>—</t>
        </is>
      </c>
      <c r="H13" s="8" t="n"/>
      <c r="I13" s="8" t="n"/>
      <c r="J13" s="8" t="inlineStr">
        <is>
          <t>Any</t>
        </is>
      </c>
      <c r="K13" s="8" t="n"/>
      <c r="L13" s="8" t="n"/>
      <c r="M13" s="9">
        <f>IF(H13="No","{""face"":"""&amp;C13&amp;""","&amp;IF(OR(J13="",J13="Any"),"","""size"":"""&amp;J13&amp;""",")&amp;"""contains"":"""&amp;E13&amp;"""}","")</f>
        <v/>
      </c>
      <c r="N13" s="8" t="n"/>
    </row>
    <row r="14">
      <c r="A14" s="7" t="inlineStr">
        <is>
          <t>Mid panel</t>
        </is>
      </c>
      <c r="B14" s="7" t="inlineStr">
        <is>
          <t>Mid panel part not created yet (Prepared Mid Panel, RR-202609-7C4GCN8M)</t>
        </is>
      </c>
      <c r="C14" s="7" t="inlineStr">
        <is>
          <t>right</t>
        </is>
      </c>
      <c r="D14" s="7" t="inlineStr">
        <is>
          <t>Drawers</t>
        </is>
      </c>
      <c r="E14" s="7" t="inlineStr">
        <is>
          <t>drawer_set</t>
        </is>
      </c>
      <c r="F14" s="7" t="inlineStr">
        <is>
          <t>1 Lådor + häng, 6 Lådor + hyllor</t>
        </is>
      </c>
      <c r="G14" s="7" t="inlineStr">
        <is>
          <t>Drawers 634–857, 409–632</t>
        </is>
      </c>
      <c r="H14" s="8" t="n"/>
      <c r="I14" s="8" t="n"/>
      <c r="J14" s="8" t="inlineStr">
        <is>
          <t>Any</t>
        </is>
      </c>
      <c r="K14" s="8" t="n"/>
      <c r="L14" s="8" t="n"/>
      <c r="M14" s="9">
        <f>IF(H14="No","{""face"":"""&amp;C14&amp;""","&amp;IF(OR(J14="",J14="Any"),"","""size"":"""&amp;J14&amp;""",")&amp;"""contains"":"""&amp;E14&amp;"""}","")</f>
        <v/>
      </c>
      <c r="N14" s="8" t="n"/>
    </row>
    <row r="15">
      <c r="A15" s="7" t="inlineStr">
        <is>
          <t>Mid panel</t>
        </is>
      </c>
      <c r="B15" s="7" t="inlineStr">
        <is>
          <t>Mid panel part not created yet (Prepared Mid Panel, RR-202609-7C4GCN8M)</t>
        </is>
      </c>
      <c r="C15" s="7" t="inlineStr">
        <is>
          <t>right</t>
        </is>
      </c>
      <c r="D15" s="7" t="inlineStr">
        <is>
          <t>Shelves</t>
        </is>
      </c>
      <c r="E15" s="7" t="inlineStr">
        <is>
          <t>shelf</t>
        </is>
      </c>
      <c r="F15" s="7" t="inlineStr">
        <is>
          <t>0 Fullhäng, 1 Lådor + häng, 2 Hyllor, 4 Hyllor + häng, 5 Dubbelhäng, 6 Lådor + hyllor, 7 Dubbelhäng 50/50</t>
        </is>
      </c>
      <c r="G15" s="7" t="inlineStr">
        <is>
          <t>Shelves at 1817, 1580, 1343, 1105, 868, 630, 393 (which ones depend on the interior)</t>
        </is>
      </c>
      <c r="H15" s="8" t="n"/>
      <c r="I15" s="8" t="n"/>
      <c r="J15" s="8" t="inlineStr">
        <is>
          <t>Any</t>
        </is>
      </c>
      <c r="K15" s="8" t="n"/>
      <c r="L15" s="8" t="n"/>
      <c r="M15" s="9">
        <f>IF(H15="No","{""face"":"""&amp;C15&amp;""","&amp;IF(OR(J15="",J15="Any"),"","""size"":"""&amp;J15&amp;""",")&amp;"""contains"":"""&amp;E15&amp;"""}","")</f>
        <v/>
      </c>
      <c r="N15" s="8" t="n"/>
    </row>
    <row r="16">
      <c r="A16" s="7" t="inlineStr">
        <is>
          <t>Mid panel</t>
        </is>
      </c>
      <c r="B16" s="7" t="inlineStr">
        <is>
          <t>Mid panel part not created yet (Prepared Mid Panel, RR-202609-7C4GCN8M)</t>
        </is>
      </c>
      <c r="C16" s="7" t="inlineStr">
        <is>
          <t>right</t>
        </is>
      </c>
      <c r="D16" s="7" t="inlineStr">
        <is>
          <t>Clothes rail</t>
        </is>
      </c>
      <c r="E16" s="7" t="inlineStr">
        <is>
          <t>hanger</t>
        </is>
      </c>
      <c r="F16" s="7" t="inlineStr">
        <is>
          <t>0 Fullhäng, 1 Lådor + häng, 4 Hyllor + häng, 5 Dubbelhäng, 7 Dubbelhäng 50/50</t>
        </is>
      </c>
      <c r="G16" s="7" t="inlineStr">
        <is>
          <t>Rails at Hanger 1962, Hanger_bottom 773, Hanger_mid 1010</t>
        </is>
      </c>
      <c r="H16" s="8" t="n"/>
      <c r="I16" s="8" t="n"/>
      <c r="J16" s="8" t="inlineStr">
        <is>
          <t>Any</t>
        </is>
      </c>
      <c r="K16" s="8" t="n"/>
      <c r="L16" s="8" t="n"/>
      <c r="M16" s="9">
        <f>IF(H16="No","{""face"":"""&amp;C16&amp;""","&amp;IF(OR(J16="",J16="Any"),"","""size"":"""&amp;J16&amp;""",")&amp;"""contains"":"""&amp;E16&amp;"""}","")</f>
        <v/>
      </c>
      <c r="N16" s="8" t="n"/>
    </row>
    <row r="17">
      <c r="A17" s="7" t="inlineStr">
        <is>
          <t>Mid panel</t>
        </is>
      </c>
      <c r="B17" s="7" t="inlineStr">
        <is>
          <t>Mid panel part not created yet (Prepared Mid Panel, RR-202609-7C4GCN8M)</t>
        </is>
      </c>
      <c r="C17" s="7" t="inlineStr">
        <is>
          <t>right</t>
        </is>
      </c>
      <c r="D17" s="7" t="inlineStr">
        <is>
          <t>LED strip</t>
        </is>
      </c>
      <c r="E17" s="7" t="inlineStr">
        <is>
          <t>led_ramp</t>
        </is>
      </c>
      <c r="F17" s="7" t="inlineStr">
        <is>
          <t>0 Fullhäng, 1 Lådor + häng, 2 Hyllor, 3 BeautyBox, 4 Hyllor + häng, 5 Dubbelhäng, 6 Lådor + hyllor, 7 Dubbelhäng 50/50</t>
        </is>
      </c>
      <c r="G17" s="7" t="inlineStr">
        <is>
          <t>Under the top fixed shelf (2055)</t>
        </is>
      </c>
      <c r="H17" s="8" t="n"/>
      <c r="I17" s="8" t="n"/>
      <c r="J17" s="8" t="inlineStr">
        <is>
          <t>Any</t>
        </is>
      </c>
      <c r="K17" s="8" t="n"/>
      <c r="L17" s="8" t="n"/>
      <c r="M17" s="9">
        <f>IF(H17="No","{""face"":"""&amp;C17&amp;""","&amp;IF(OR(J17="",J17="Any"),"","""size"":"""&amp;J17&amp;""",")&amp;"""contains"":"""&amp;E17&amp;"""}","")</f>
        <v/>
      </c>
      <c r="N17" s="8" t="n"/>
    </row>
    <row r="18">
      <c r="A18" s="7" t="inlineStr">
        <is>
          <t>Mid panel</t>
        </is>
      </c>
      <c r="B18" s="7" t="inlineStr">
        <is>
          <t>Mid panel part not created yet (Prepared Mid Panel, RR-202609-7C4GCN8M)</t>
        </is>
      </c>
      <c r="C18" s="7" t="inlineStr">
        <is>
          <t>right</t>
        </is>
      </c>
      <c r="D18" s="7" t="inlineStr">
        <is>
          <t>BeautyBox</t>
        </is>
      </c>
      <c r="E18" s="7" t="inlineStr">
        <is>
          <t>beautybox</t>
        </is>
      </c>
      <c r="F18" s="7" t="inlineStr">
        <is>
          <t>3 BeautyBox</t>
        </is>
      </c>
      <c r="G18" s="7" t="inlineStr">
        <is>
          <t>—</t>
        </is>
      </c>
      <c r="H18" s="8" t="n"/>
      <c r="I18" s="8" t="n"/>
      <c r="J18" s="8" t="inlineStr">
        <is>
          <t>Any</t>
        </is>
      </c>
      <c r="K18" s="8" t="n"/>
      <c r="L18" s="8" t="n"/>
      <c r="M18" s="9">
        <f>IF(H18="No","{""face"":"""&amp;C18&amp;""","&amp;IF(OR(J18="",J18="Any"),"","""size"":"""&amp;J18&amp;""",")&amp;"""contains"":"""&amp;E18&amp;"""}","")</f>
        <v/>
      </c>
      <c r="N18" s="8" t="n"/>
    </row>
    <row r="19">
      <c r="A19" s="7" t="inlineStr">
        <is>
          <t>Mid panel</t>
        </is>
      </c>
      <c r="B19" s="7" t="inlineStr">
        <is>
          <t>Mid panel part not created yet (Prepared Mid Panel, RR-202609-7C4GCN8M)</t>
        </is>
      </c>
      <c r="C19" s="7" t="inlineStr">
        <is>
          <t>right</t>
        </is>
      </c>
      <c r="D19" s="7" t="inlineStr">
        <is>
          <t>Back panel</t>
        </is>
      </c>
      <c r="E19" s="7" t="inlineStr">
        <is>
          <t>removable_panel_back_full</t>
        </is>
      </c>
      <c r="F19" s="7" t="inlineStr">
        <is>
          <t>0 Fullhäng, 1 Lådor + häng, 2 Hyllor, 3 BeautyBox, 4 Hyllor + häng, 5 Dubbelhäng, 6 Lådor + hyllor, 7 Dubbelhäng 50/50</t>
        </is>
      </c>
      <c r="G19" s="7" t="inlineStr">
        <is>
          <t>—</t>
        </is>
      </c>
      <c r="H19" s="8" t="n"/>
      <c r="I19" s="8" t="n"/>
      <c r="J19" s="8" t="inlineStr">
        <is>
          <t>Any</t>
        </is>
      </c>
      <c r="K19" s="8" t="n"/>
      <c r="L19" s="8" t="n"/>
      <c r="M19" s="9">
        <f>IF(H19="No","{""face"":"""&amp;C19&amp;""","&amp;IF(OR(J19="",J19="Any"),"","""size"":"""&amp;J19&amp;""",")&amp;"""contains"":"""&amp;E19&amp;"""}","")</f>
        <v/>
      </c>
      <c r="N19" s="8" t="n"/>
    </row>
    <row r="20">
      <c r="A20" s="7" t="inlineStr">
        <is>
          <t>Right side</t>
        </is>
      </c>
      <c r="B20" s="7" t="inlineStr">
        <is>
          <t>Right Side Panel - White (in Prepared Right Side Panel, RR-202609-WWQTVTEA)</t>
        </is>
      </c>
      <c r="C20" s="7" t="inlineStr">
        <is>
          <t>left</t>
        </is>
      </c>
      <c r="D20" s="7" t="inlineStr">
        <is>
          <t>Drawers</t>
        </is>
      </c>
      <c r="E20" s="7" t="inlineStr">
        <is>
          <t>drawer_set</t>
        </is>
      </c>
      <c r="F20" s="7" t="inlineStr">
        <is>
          <t>1 Lådor + häng, 6 Lådor + hyllor</t>
        </is>
      </c>
      <c r="G20" s="7" t="inlineStr">
        <is>
          <t>Drawers 634–857, 409–632</t>
        </is>
      </c>
      <c r="H20" s="8" t="n"/>
      <c r="I20" s="8" t="n"/>
      <c r="J20" s="8" t="inlineStr">
        <is>
          <t>Any</t>
        </is>
      </c>
      <c r="K20" s="8" t="n"/>
      <c r="L20" s="8" t="n"/>
      <c r="M20" s="9">
        <f>IF(H20="No","{""face"":"""&amp;C20&amp;""","&amp;IF(OR(J20="",J20="Any"),"","""size"":"""&amp;J20&amp;""",")&amp;"""contains"":"""&amp;E20&amp;"""}","")</f>
        <v/>
      </c>
      <c r="N20" s="8" t="n"/>
    </row>
    <row r="21">
      <c r="A21" s="7" t="inlineStr">
        <is>
          <t>Right side</t>
        </is>
      </c>
      <c r="B21" s="7" t="inlineStr">
        <is>
          <t>Right Side Panel - White (in Prepared Right Side Panel, RR-202609-WWQTVTEA)</t>
        </is>
      </c>
      <c r="C21" s="7" t="inlineStr">
        <is>
          <t>left</t>
        </is>
      </c>
      <c r="D21" s="7" t="inlineStr">
        <is>
          <t>Shelves</t>
        </is>
      </c>
      <c r="E21" s="7" t="inlineStr">
        <is>
          <t>shelf</t>
        </is>
      </c>
      <c r="F21" s="7" t="inlineStr">
        <is>
          <t>0 Fullhäng, 1 Lådor + häng, 2 Hyllor, 4 Hyllor + häng, 5 Dubbelhäng, 6 Lådor + hyllor, 7 Dubbelhäng 50/50</t>
        </is>
      </c>
      <c r="G21" s="7" t="inlineStr">
        <is>
          <t>Shelves at 1817, 1580, 1343, 1105, 868, 630, 393 (which ones depend on the interior)</t>
        </is>
      </c>
      <c r="H21" s="8" t="n"/>
      <c r="I21" s="8" t="n"/>
      <c r="J21" s="8" t="inlineStr">
        <is>
          <t>Any</t>
        </is>
      </c>
      <c r="K21" s="8" t="n"/>
      <c r="L21" s="8" t="n"/>
      <c r="M21" s="9">
        <f>IF(H21="No","{""face"":"""&amp;C21&amp;""","&amp;IF(OR(J21="",J21="Any"),"","""size"":"""&amp;J21&amp;""",")&amp;"""contains"":"""&amp;E21&amp;"""}","")</f>
        <v/>
      </c>
      <c r="N21" s="8" t="n"/>
    </row>
    <row r="22">
      <c r="A22" s="7" t="inlineStr">
        <is>
          <t>Right side</t>
        </is>
      </c>
      <c r="B22" s="7" t="inlineStr">
        <is>
          <t>Right Side Panel - White (in Prepared Right Side Panel, RR-202609-WWQTVTEA)</t>
        </is>
      </c>
      <c r="C22" s="7" t="inlineStr">
        <is>
          <t>left</t>
        </is>
      </c>
      <c r="D22" s="7" t="inlineStr">
        <is>
          <t>Clothes rail</t>
        </is>
      </c>
      <c r="E22" s="7" t="inlineStr">
        <is>
          <t>hanger</t>
        </is>
      </c>
      <c r="F22" s="7" t="inlineStr">
        <is>
          <t>0 Fullhäng, 1 Lådor + häng, 4 Hyllor + häng, 5 Dubbelhäng, 7 Dubbelhäng 50/50</t>
        </is>
      </c>
      <c r="G22" s="7" t="inlineStr">
        <is>
          <t>Rails at Hanger 1962, Hanger_bottom 773, Hanger_mid 1010</t>
        </is>
      </c>
      <c r="H22" s="8" t="n"/>
      <c r="I22" s="8" t="n"/>
      <c r="J22" s="8" t="inlineStr">
        <is>
          <t>Any</t>
        </is>
      </c>
      <c r="K22" s="8" t="n"/>
      <c r="L22" s="8" t="n"/>
      <c r="M22" s="9">
        <f>IF(H22="No","{""face"":"""&amp;C22&amp;""","&amp;IF(OR(J22="",J22="Any"),"","""size"":"""&amp;J22&amp;""",")&amp;"""contains"":"""&amp;E22&amp;"""}","")</f>
        <v/>
      </c>
      <c r="N22" s="8" t="n"/>
    </row>
    <row r="23">
      <c r="A23" s="7" t="inlineStr">
        <is>
          <t>Right side</t>
        </is>
      </c>
      <c r="B23" s="7" t="inlineStr">
        <is>
          <t>Right Side Panel - White (in Prepared Right Side Panel, RR-202609-WWQTVTEA)</t>
        </is>
      </c>
      <c r="C23" s="7" t="inlineStr">
        <is>
          <t>left</t>
        </is>
      </c>
      <c r="D23" s="7" t="inlineStr">
        <is>
          <t>LED strip</t>
        </is>
      </c>
      <c r="E23" s="7" t="inlineStr">
        <is>
          <t>led_ramp</t>
        </is>
      </c>
      <c r="F23" s="7" t="inlineStr">
        <is>
          <t>0 Fullhäng, 1 Lådor + häng, 2 Hyllor, 3 BeautyBox, 4 Hyllor + häng, 5 Dubbelhäng, 6 Lådor + hyllor, 7 Dubbelhäng 50/50</t>
        </is>
      </c>
      <c r="G23" s="7" t="inlineStr">
        <is>
          <t>Under the top fixed shelf (2055)</t>
        </is>
      </c>
      <c r="H23" s="8" t="n"/>
      <c r="I23" s="8" t="n"/>
      <c r="J23" s="8" t="inlineStr">
        <is>
          <t>Any</t>
        </is>
      </c>
      <c r="K23" s="8" t="n"/>
      <c r="L23" s="8" t="n"/>
      <c r="M23" s="9">
        <f>IF(H23="No","{""face"":"""&amp;C23&amp;""","&amp;IF(OR(J23="",J23="Any"),"","""size"":"""&amp;J23&amp;""",")&amp;"""contains"":"""&amp;E23&amp;"""}","")</f>
        <v/>
      </c>
      <c r="N23" s="8" t="n"/>
    </row>
    <row r="24">
      <c r="A24" s="7" t="inlineStr">
        <is>
          <t>Right side</t>
        </is>
      </c>
      <c r="B24" s="7" t="inlineStr">
        <is>
          <t>Right Side Panel - White (in Prepared Right Side Panel, RR-202609-WWQTVTEA)</t>
        </is>
      </c>
      <c r="C24" s="7" t="inlineStr">
        <is>
          <t>left</t>
        </is>
      </c>
      <c r="D24" s="7" t="inlineStr">
        <is>
          <t>BeautyBox</t>
        </is>
      </c>
      <c r="E24" s="7" t="inlineStr">
        <is>
          <t>beautybox</t>
        </is>
      </c>
      <c r="F24" s="7" t="inlineStr">
        <is>
          <t>3 BeautyBox</t>
        </is>
      </c>
      <c r="G24" s="7" t="inlineStr">
        <is>
          <t>—</t>
        </is>
      </c>
      <c r="H24" s="8" t="n"/>
      <c r="I24" s="8" t="n"/>
      <c r="J24" s="8" t="inlineStr">
        <is>
          <t>Any</t>
        </is>
      </c>
      <c r="K24" s="8" t="n"/>
      <c r="L24" s="8" t="n"/>
      <c r="M24" s="9">
        <f>IF(H24="No","{""face"":"""&amp;C24&amp;""","&amp;IF(OR(J24="",J24="Any"),"","""size"":"""&amp;J24&amp;""",")&amp;"""contains"":"""&amp;E24&amp;"""}","")</f>
        <v/>
      </c>
      <c r="N24" s="8" t="n"/>
    </row>
    <row r="25">
      <c r="A25" s="7" t="inlineStr">
        <is>
          <t>Right side</t>
        </is>
      </c>
      <c r="B25" s="7" t="inlineStr">
        <is>
          <t>Right Side Panel - White (in Prepared Right Side Panel, RR-202609-WWQTVTEA)</t>
        </is>
      </c>
      <c r="C25" s="7" t="inlineStr">
        <is>
          <t>left</t>
        </is>
      </c>
      <c r="D25" s="7" t="inlineStr">
        <is>
          <t>Back panel</t>
        </is>
      </c>
      <c r="E25" s="7" t="inlineStr">
        <is>
          <t>removable_panel_back_full</t>
        </is>
      </c>
      <c r="F25" s="7" t="inlineStr">
        <is>
          <t>0 Fullhäng, 1 Lådor + häng, 2 Hyllor, 3 BeautyBox, 4 Hyllor + häng, 5 Dubbelhäng, 6 Lådor + hyllor, 7 Dubbelhäng 50/50</t>
        </is>
      </c>
      <c r="G25" s="7" t="inlineStr">
        <is>
          <t>—</t>
        </is>
      </c>
      <c r="H25" s="8" t="n"/>
      <c r="I25" s="8" t="n"/>
      <c r="J25" s="8" t="inlineStr">
        <is>
          <t>Any</t>
        </is>
      </c>
      <c r="K25" s="8" t="n"/>
      <c r="L25" s="8" t="n"/>
      <c r="M25" s="9">
        <f>IF(H25="No","{""face"":"""&amp;C25&amp;""","&amp;IF(OR(J25="",J25="Any"),"","""size"":"""&amp;J25&amp;""",")&amp;"""contains"":"""&amp;E25&amp;"""}","")</f>
        <v/>
      </c>
      <c r="N25" s="8" t="n"/>
    </row>
  </sheetData>
  <autoFilter ref="A1:N25"/>
  <dataValidations count="3">
    <dataValidation sqref="H2:H25" showDropDown="0" showInputMessage="0" showErrorMessage="0" allowBlank="1" type="list">
      <formula1>"Yes,No,Unsure"</formula1>
    </dataValidation>
    <dataValidation sqref="I2:I25" showDropDown="0" showInputMessage="0" showErrorMessage="0" allowBlank="1" type="list">
      <formula1>"drill,route,cut,insert,attach,surface_treat,inspect,other"</formula1>
    </dataValidation>
    <dataValidation sqref="J2:J25" showDropDown="0" showInputMessage="0" showErrorMessage="0" allowBlank="0" type="list">
      <formula1>"Any,S,M,L"</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min="1" max="1"/>
    <col width="18" customWidth="1" min="2" max="2"/>
    <col width="8" customWidth="1" min="3" max="3"/>
    <col width="40" customWidth="1" min="4" max="4"/>
    <col width="32" customWidth="1" min="5" max="5"/>
    <col width="8" customWidth="1" min="6" max="6"/>
    <col width="44" customWidth="1" min="7" max="7"/>
    <col width="60" customWidth="1" min="8" max="8"/>
  </cols>
  <sheetData>
    <row r="1">
      <c r="A1" s="10" t="inlineStr">
        <is>
          <t>Code</t>
        </is>
      </c>
      <c r="B1" s="10" t="inlineStr">
        <is>
          <t>Interior</t>
        </is>
      </c>
      <c r="C1" s="10" t="inlineStr">
        <is>
          <t>Sizes</t>
        </is>
      </c>
      <c r="D1" s="10" t="inlineStr">
        <is>
          <t>Shelves (height mm)</t>
        </is>
      </c>
      <c r="E1" s="10" t="inlineStr">
        <is>
          <t>Rails (height mm)</t>
        </is>
      </c>
      <c r="F1" s="10" t="inlineStr">
        <is>
          <t>Drawers</t>
        </is>
      </c>
      <c r="G1" s="10" t="inlineStr">
        <is>
          <t>Module has</t>
        </is>
      </c>
      <c r="H1" s="10" t="inlineStr">
        <is>
          <t>Description</t>
        </is>
      </c>
    </row>
    <row r="2">
      <c r="A2" s="11" t="n">
        <v>0</v>
      </c>
      <c r="B2" s="11" t="inlineStr">
        <is>
          <t>Fullhäng</t>
        </is>
      </c>
      <c r="C2" s="11" t="inlineStr">
        <is>
          <t>S, M, L</t>
        </is>
      </c>
      <c r="D2" s="11" t="inlineStr">
        <is>
          <t>Shelf_7 393</t>
        </is>
      </c>
      <c r="E2" s="11" t="inlineStr">
        <is>
          <t>Hanger 1962</t>
        </is>
      </c>
      <c r="F2" s="11" t="n">
        <v>0</v>
      </c>
      <c r="G2" s="11" t="inlineStr">
        <is>
          <t>Shelves, Clothes rail, LED strip, Back panel</t>
        </is>
      </c>
      <c r="H2" s="11" t="inlineStr">
        <is>
          <t>Klädstång i hela höjden – för kappor, klänningar och andra långa plagg.</t>
        </is>
      </c>
    </row>
    <row r="3">
      <c r="A3" s="11" t="n">
        <v>1</v>
      </c>
      <c r="B3" s="11" t="inlineStr">
        <is>
          <t>Lådor + häng</t>
        </is>
      </c>
      <c r="C3" s="11" t="inlineStr">
        <is>
          <t>M, L</t>
        </is>
      </c>
      <c r="D3" s="11" t="inlineStr">
        <is>
          <t>Shelf_5 868</t>
        </is>
      </c>
      <c r="E3" s="11" t="inlineStr">
        <is>
          <t>Hanger 1962</t>
        </is>
      </c>
      <c r="F3" s="11" t="n">
        <v>2</v>
      </c>
      <c r="G3" s="11" t="inlineStr">
        <is>
          <t>Drawers, Shelves, Clothes rail, LED strip, Back panel</t>
        </is>
      </c>
      <c r="H3" s="11" t="inlineStr">
        <is>
          <t>Klädstång för skjortor och jackor, två lådor under.</t>
        </is>
      </c>
    </row>
    <row r="4">
      <c r="A4" s="11" t="n">
        <v>2</v>
      </c>
      <c r="B4" s="11" t="inlineStr">
        <is>
          <t>Hyllor</t>
        </is>
      </c>
      <c r="C4" s="11" t="inlineStr">
        <is>
          <t>S, M, L</t>
        </is>
      </c>
      <c r="D4" s="11" t="inlineStr">
        <is>
          <t>Shelf_1 1817, Shelf_2 1580, Shelf_3 1343, Shelf_4 1105, Shelf_5 868, Shelf_6 630, Shelf_7 393</t>
        </is>
      </c>
      <c r="E4" s="11" t="inlineStr">
        <is>
          <t>—</t>
        </is>
      </c>
      <c r="F4" s="11" t="n">
        <v>0</v>
      </c>
      <c r="G4" s="11" t="inlineStr">
        <is>
          <t>Shelves, LED strip, Back panel</t>
        </is>
      </c>
      <c r="H4" s="11" t="inlineStr">
        <is>
          <t>Hyllplan i hela höjden – för vikta plagg, väskor och boxar.</t>
        </is>
      </c>
    </row>
    <row r="5">
      <c r="A5" s="11" t="n">
        <v>3</v>
      </c>
      <c r="B5" s="11" t="inlineStr">
        <is>
          <t>BeautyBox</t>
        </is>
      </c>
      <c r="C5" s="11" t="inlineStr">
        <is>
          <t>L</t>
        </is>
      </c>
      <c r="D5" s="11" t="inlineStr">
        <is>
          <t>—</t>
        </is>
      </c>
      <c r="E5" s="11" t="inlineStr">
        <is>
          <t>—</t>
        </is>
      </c>
      <c r="F5" s="11" t="n">
        <v>0</v>
      </c>
      <c r="G5" s="11" t="inlineStr">
        <is>
          <t>LED strip, BeautyBox, Back panel</t>
        </is>
      </c>
      <c r="H5" s="11" t="inlineStr">
        <is>
          <t>Sminkbord med spegel och små hyllor – en egen plats i mitten av raden.</t>
        </is>
      </c>
    </row>
    <row r="6">
      <c r="A6" s="11" t="n">
        <v>4</v>
      </c>
      <c r="B6" s="11" t="inlineStr">
        <is>
          <t>Hyllor + häng</t>
        </is>
      </c>
      <c r="C6" s="11" t="inlineStr">
        <is>
          <t>S, M, L</t>
        </is>
      </c>
      <c r="D6" s="11" t="inlineStr">
        <is>
          <t>Shelf_5 868, Shelf_6 630, Shelf_7 393</t>
        </is>
      </c>
      <c r="E6" s="11" t="inlineStr">
        <is>
          <t>Hanger 1962</t>
        </is>
      </c>
      <c r="F6" s="11" t="n">
        <v>0</v>
      </c>
      <c r="G6" s="11" t="inlineStr">
        <is>
          <t>Shelves, Clothes rail, LED strip, Back panel</t>
        </is>
      </c>
      <c r="H6" s="11" t="inlineStr">
        <is>
          <t>Klädstång upptill och tre hyllplan nedtill.</t>
        </is>
      </c>
    </row>
    <row r="7">
      <c r="A7" s="11" t="n">
        <v>5</v>
      </c>
      <c r="B7" s="11" t="inlineStr">
        <is>
          <t>Dubbelhäng</t>
        </is>
      </c>
      <c r="C7" s="11" t="inlineStr">
        <is>
          <t>S, M, L</t>
        </is>
      </c>
      <c r="D7" s="11" t="inlineStr">
        <is>
          <t>Shelf_5 868</t>
        </is>
      </c>
      <c r="E7" s="11" t="inlineStr">
        <is>
          <t>Hanger 1962, Hanger_bottom 773</t>
        </is>
      </c>
      <c r="F7" s="11" t="n">
        <v>0</v>
      </c>
      <c r="G7" s="11" t="inlineStr">
        <is>
          <t>Shelves, Clothes rail, LED strip, Back panel</t>
        </is>
      </c>
      <c r="H7" s="11" t="inlineStr">
        <is>
          <t>Två klädstänger ovanför varandra – dubbelt så många skjortor, byxor och jackor.</t>
        </is>
      </c>
    </row>
    <row r="8">
      <c r="A8" s="11" t="n">
        <v>6</v>
      </c>
      <c r="B8" s="11" t="inlineStr">
        <is>
          <t>Lådor + hyllor</t>
        </is>
      </c>
      <c r="C8" s="11" t="inlineStr">
        <is>
          <t>M, L</t>
        </is>
      </c>
      <c r="D8" s="11" t="inlineStr">
        <is>
          <t>Shelf_1 1817, Shelf_2 1580, Shelf_3 1343, Shelf_4 1105, Shelf_5 868</t>
        </is>
      </c>
      <c r="E8" s="11" t="inlineStr">
        <is>
          <t>—</t>
        </is>
      </c>
      <c r="F8" s="11" t="n">
        <v>2</v>
      </c>
      <c r="G8" s="11" t="inlineStr">
        <is>
          <t>Drawers, Shelves, LED strip, Back panel</t>
        </is>
      </c>
      <c r="H8" s="11" t="inlineStr">
        <is>
          <t>Hyllplan upptill och två lådor nedtill, ingen klädstång.</t>
        </is>
      </c>
    </row>
    <row r="9">
      <c r="A9" s="11" t="n">
        <v>7</v>
      </c>
      <c r="B9" s="11" t="inlineStr">
        <is>
          <t>Dubbelhäng 50/50</t>
        </is>
      </c>
      <c r="C9" s="11" t="inlineStr">
        <is>
          <t>S, M, L</t>
        </is>
      </c>
      <c r="D9" s="11" t="inlineStr">
        <is>
          <t>Shelf_4 1105</t>
        </is>
      </c>
      <c r="E9" s="11" t="inlineStr">
        <is>
          <t>Hanger 1962, Hanger_mid 1010</t>
        </is>
      </c>
      <c r="F9" s="11" t="n">
        <v>0</v>
      </c>
      <c r="G9" s="11" t="inlineStr">
        <is>
          <t>Shelves, Clothes rail, LED strip, Back panel</t>
        </is>
      </c>
      <c r="H9" s="11" t="inlineStr">
        <is>
          <t>Två klädstänger som delar facket mitt på – lika mycket häng upptill som nedtill.</t>
        </is>
      </c>
    </row>
    <row r="11">
      <c r="A11" s="12" t="inlineStr">
        <is>
          <t>Fixed shelf 1 sits at 2055 in every interior; bottom board at 131. Source: valcyra-site spec/interior-variants.json (geometry_mm, measured from the GLB models 2026-10-08). Size rules: docs/wardrobe-blender-spec.md §5 (BeautyBox: L only, with a neighbour on both sides).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4" customWidth="1" min="1" max="1"/>
    <col width="8" customWidth="1" min="2" max="2"/>
    <col width="10" customWidth="1" min="3" max="3"/>
    <col width="16" customWidth="1" min="4" max="4"/>
    <col width="10" customWidth="1" min="5" max="5"/>
    <col width="24" customWidth="1" min="6" max="6"/>
  </cols>
  <sheetData>
    <row r="1">
      <c r="A1" s="10" t="inlineStr">
        <is>
          <t>Panel</t>
        </is>
      </c>
      <c r="B1" s="10" t="inlineStr">
        <is>
          <t>Rows</t>
        </is>
      </c>
      <c r="C1" s="10" t="inlineStr">
        <is>
          <t>Answered</t>
        </is>
      </c>
      <c r="D1" s="10" t="inlineStr">
        <is>
          <t>Supplier default</t>
        </is>
      </c>
      <c r="E1" s="10" t="inlineStr">
        <is>
          <t>Hub work</t>
        </is>
      </c>
      <c r="F1" s="10" t="inlineStr">
        <is>
          <t>Hub rows without drawing</t>
        </is>
      </c>
    </row>
    <row r="2">
      <c r="A2" s="13" t="inlineStr">
        <is>
          <t>Left side</t>
        </is>
      </c>
      <c r="B2" s="13">
        <f>COUNTIFS('Side panel matrix'!$A$2:$A$25,A2)</f>
        <v/>
      </c>
      <c r="C2" s="13">
        <f>COUNTIFS('Side panel matrix'!$A$2:$A$25,A2,'Side panel matrix'!$H$2:$H$25,"Yes")+COUNTIFS('Side panel matrix'!$A$2:$A$25,A2,'Side panel matrix'!$H$2:$H$25,"No")</f>
        <v/>
      </c>
      <c r="D2" s="13">
        <f>COUNTIFS('Side panel matrix'!$A$2:$A$25,A2,'Side panel matrix'!$H$2:$H$25,"Yes")</f>
        <v/>
      </c>
      <c r="E2" s="13">
        <f>COUNTIFS('Side panel matrix'!$A$2:$A$25,A2,'Side panel matrix'!$H$2:$H$25,"No")</f>
        <v/>
      </c>
      <c r="F2" s="13">
        <f>COUNTIFS('Side panel matrix'!$A$2:$A$25,A2,'Side panel matrix'!$H$2:$H$25,"No",'Side panel matrix'!$L$2:$L$25,"")</f>
        <v/>
      </c>
    </row>
    <row r="3">
      <c r="A3" s="13" t="inlineStr">
        <is>
          <t>Mid panel</t>
        </is>
      </c>
      <c r="B3" s="13">
        <f>COUNTIFS('Side panel matrix'!$A$2:$A$25,A3)</f>
        <v/>
      </c>
      <c r="C3" s="13">
        <f>COUNTIFS('Side panel matrix'!$A$2:$A$25,A3,'Side panel matrix'!$H$2:$H$25,"Yes")+COUNTIFS('Side panel matrix'!$A$2:$A$25,A3,'Side panel matrix'!$H$2:$H$25,"No")</f>
        <v/>
      </c>
      <c r="D3" s="13">
        <f>COUNTIFS('Side panel matrix'!$A$2:$A$25,A3,'Side panel matrix'!$H$2:$H$25,"Yes")</f>
        <v/>
      </c>
      <c r="E3" s="13">
        <f>COUNTIFS('Side panel matrix'!$A$2:$A$25,A3,'Side panel matrix'!$H$2:$H$25,"No")</f>
        <v/>
      </c>
      <c r="F3" s="13">
        <f>COUNTIFS('Side panel matrix'!$A$2:$A$25,A3,'Side panel matrix'!$H$2:$H$25,"No",'Side panel matrix'!$L$2:$L$25,"")</f>
        <v/>
      </c>
    </row>
    <row r="4">
      <c r="A4" s="13" t="inlineStr">
        <is>
          <t>Right side</t>
        </is>
      </c>
      <c r="B4" s="13">
        <f>COUNTIFS('Side panel matrix'!$A$2:$A$25,A4)</f>
        <v/>
      </c>
      <c r="C4" s="13">
        <f>COUNTIFS('Side panel matrix'!$A$2:$A$25,A4,'Side panel matrix'!$H$2:$H$25,"Yes")+COUNTIFS('Side panel matrix'!$A$2:$A$25,A4,'Side panel matrix'!$H$2:$H$25,"No")</f>
        <v/>
      </c>
      <c r="D4" s="13">
        <f>COUNTIFS('Side panel matrix'!$A$2:$A$25,A4,'Side panel matrix'!$H$2:$H$25,"Yes")</f>
        <v/>
      </c>
      <c r="E4" s="13">
        <f>COUNTIFS('Side panel matrix'!$A$2:$A$25,A4,'Side panel matrix'!$H$2:$H$25,"No")</f>
        <v/>
      </c>
      <c r="F4" s="13">
        <f>COUNTIFS('Side panel matrix'!$A$2:$A$25,A4,'Side panel matrix'!$H$2:$H$25,"No",'Side panel matrix'!$L$2:$L$25,"")</f>
        <v/>
      </c>
    </row>
    <row r="5">
      <c r="A5" s="4" t="inlineStr">
        <is>
          <t>Total</t>
        </is>
      </c>
      <c r="B5" s="4">
        <f>SUM(B2:B4)</f>
        <v/>
      </c>
      <c r="C5" s="4">
        <f>SUM(C2:C4)</f>
        <v/>
      </c>
      <c r="D5" s="4">
        <f>SUM(D2:D4)</f>
        <v/>
      </c>
      <c r="E5" s="4">
        <f>SUM(E2:E4)</f>
        <v/>
      </c>
      <c r="F5" s="4">
        <f>SUM(F2:F4)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2026-10-28T12:48:32Z</dcterms:created>
  <dcterms:modified xsi:type="dcterms:W3CDTF">2026-10-28T12:48:32Z</dcterms:modified>
</cp:coreProperties>
</file>